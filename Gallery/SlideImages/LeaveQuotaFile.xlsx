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_rels/externalLink7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1.xml.rels" ContentType="application/vnd.openxmlformats-package.relationships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Payroll " sheetId="1" state="hidden" r:id="rId2"/>
    <sheet name="Sheet1" sheetId="2" state="hidden" r:id="rId3"/>
    <sheet name="Quota" sheetId="3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function="false" hidden="true" localSheetId="2" name="_xlnm._FilterDatabase" vbProcedure="false">Quota!$A$1:$B$718</definedName>
    <definedName function="false" hidden="false" name="DEPARTMENT" vbProcedure="false">[1]DEPT!$A$1:$A$14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47" authorId="0">
      <text>
        <r>
          <rPr>
            <b val="true"/>
            <sz val="9"/>
            <color rgb="FF000000"/>
            <rFont val="Tahoma"/>
            <family val="2"/>
          </rPr>
          <t xml:space="preserve">EADT098:
</t>
        </r>
        <r>
          <rPr>
            <sz val="9"/>
            <color rgb="FF000000"/>
            <rFont val="Tahoma"/>
            <family val="2"/>
          </rPr>
          <t xml:space="preserve">Rs.10000
</t>
        </r>
      </text>
    </comment>
  </commentList>
</comments>
</file>

<file path=xl/sharedStrings.xml><?xml version="1.0" encoding="utf-8"?>
<sst xmlns="http://schemas.openxmlformats.org/spreadsheetml/2006/main" count="5408" uniqueCount="1706">
  <si>
    <t xml:space="preserve">Sum of TOTAL</t>
  </si>
  <si>
    <t xml:space="preserve">Payroll</t>
  </si>
  <si>
    <t xml:space="preserve">Location</t>
  </si>
  <si>
    <t xml:space="preserve">Agro</t>
  </si>
  <si>
    <t xml:space="preserve">Aroor</t>
  </si>
  <si>
    <t xml:space="preserve">Breads</t>
  </si>
  <si>
    <t xml:space="preserve">Green </t>
  </si>
  <si>
    <t xml:space="preserve">Hosur</t>
  </si>
  <si>
    <t xml:space="preserve">Kalamassery</t>
  </si>
  <si>
    <t xml:space="preserve">Mumbai</t>
  </si>
  <si>
    <t xml:space="preserve">YRFM</t>
  </si>
  <si>
    <t xml:space="preserve">Grand Total</t>
  </si>
  <si>
    <t xml:space="preserve">Ahmedabad</t>
  </si>
  <si>
    <t xml:space="preserve">Corporate</t>
  </si>
  <si>
    <t xml:space="preserve">Gardenia</t>
  </si>
  <si>
    <t xml:space="preserve">Indore</t>
  </si>
  <si>
    <t xml:space="preserve">Organic</t>
  </si>
  <si>
    <t xml:space="preserve">Outsourcing</t>
  </si>
  <si>
    <t xml:space="preserve">Division</t>
  </si>
  <si>
    <t xml:space="preserve">AGRO</t>
  </si>
  <si>
    <t xml:space="preserve">AROOR</t>
  </si>
  <si>
    <t xml:space="preserve">Bread</t>
  </si>
  <si>
    <t xml:space="preserve">Hosur </t>
  </si>
  <si>
    <t xml:space="preserve">KALAMASSERY</t>
  </si>
  <si>
    <t xml:space="preserve">Mumbai </t>
  </si>
  <si>
    <t xml:space="preserve">Agro Sales</t>
  </si>
  <si>
    <t xml:space="preserve">Andhrapradesh</t>
  </si>
  <si>
    <t xml:space="preserve">Bulk</t>
  </si>
  <si>
    <t xml:space="preserve">Cake Plus</t>
  </si>
  <si>
    <t xml:space="preserve">CPS 1</t>
  </si>
  <si>
    <t xml:space="preserve">CPS Star</t>
  </si>
  <si>
    <t xml:space="preserve">Delhi </t>
  </si>
  <si>
    <t xml:space="preserve">Gujarat</t>
  </si>
  <si>
    <t xml:space="preserve">Karnataka</t>
  </si>
  <si>
    <t xml:space="preserve">North Kerala - Breads</t>
  </si>
  <si>
    <t xml:space="preserve">North Kerala - Cakes</t>
  </si>
  <si>
    <t xml:space="preserve">Premix</t>
  </si>
  <si>
    <t xml:space="preserve">South Kerala - Breads</t>
  </si>
  <si>
    <t xml:space="preserve">South Kerala - Cakes</t>
  </si>
  <si>
    <t xml:space="preserve">Tamil Nadu</t>
  </si>
  <si>
    <t xml:space="preserve">Bulk </t>
  </si>
  <si>
    <t xml:space="preserve">CPS Star </t>
  </si>
  <si>
    <t xml:space="preserve">Tamilnadu</t>
  </si>
  <si>
    <t xml:space="preserve">Sl.No.</t>
  </si>
  <si>
    <t xml:space="preserve">SAP NO</t>
  </si>
  <si>
    <t xml:space="preserve">Name</t>
  </si>
  <si>
    <t xml:space="preserve">Designation</t>
  </si>
  <si>
    <t xml:space="preserve">DOJ</t>
  </si>
  <si>
    <t xml:space="preserve">Band</t>
  </si>
  <si>
    <t xml:space="preserve">Gross Salary</t>
  </si>
  <si>
    <t xml:space="preserve">Salary</t>
  </si>
  <si>
    <t xml:space="preserve">New Division</t>
  </si>
  <si>
    <t xml:space="preserve">Department</t>
  </si>
  <si>
    <t xml:space="preserve">ESI</t>
  </si>
  <si>
    <t xml:space="preserve">PF</t>
  </si>
  <si>
    <t xml:space="preserve">Total</t>
  </si>
  <si>
    <t xml:space="preserve">A Shalu</t>
  </si>
  <si>
    <t xml:space="preserve">01.01.1993</t>
  </si>
  <si>
    <t xml:space="preserve">P3</t>
  </si>
  <si>
    <t xml:space="preserve">M R Rajesh Kumar</t>
  </si>
  <si>
    <t xml:space="preserve">01.11.1997</t>
  </si>
  <si>
    <t xml:space="preserve">M2</t>
  </si>
  <si>
    <t xml:space="preserve">Biby Boban</t>
  </si>
  <si>
    <t xml:space="preserve">01.10.2010</t>
  </si>
  <si>
    <t xml:space="preserve">M1</t>
  </si>
  <si>
    <t xml:space="preserve">Baburajan Parakkal</t>
  </si>
  <si>
    <t xml:space="preserve">22.12.2017</t>
  </si>
  <si>
    <t xml:space="preserve">S1</t>
  </si>
  <si>
    <t xml:space="preserve">K Jayakumar</t>
  </si>
  <si>
    <t xml:space="preserve">02.06.2000</t>
  </si>
  <si>
    <t xml:space="preserve">P.Balamurugan</t>
  </si>
  <si>
    <t xml:space="preserve">06.12.2017</t>
  </si>
  <si>
    <t xml:space="preserve">Karthikeyan.M</t>
  </si>
  <si>
    <t xml:space="preserve">01.02.2018</t>
  </si>
  <si>
    <t xml:space="preserve">Sunil A V </t>
  </si>
  <si>
    <t xml:space="preserve">06.07.2004</t>
  </si>
  <si>
    <t xml:space="preserve">CPD</t>
  </si>
  <si>
    <t xml:space="preserve">Sujith.M</t>
  </si>
  <si>
    <t xml:space="preserve">05.02.18</t>
  </si>
  <si>
    <t xml:space="preserve">S2</t>
  </si>
  <si>
    <t xml:space="preserve">Thomas Abraham</t>
  </si>
  <si>
    <t xml:space="preserve">01.12.2004</t>
  </si>
  <si>
    <t xml:space="preserve">Santhosh Kumar</t>
  </si>
  <si>
    <t xml:space="preserve">01.04.2006</t>
  </si>
  <si>
    <t xml:space="preserve">Bakery-South</t>
  </si>
  <si>
    <t xml:space="preserve">Rajeev K L</t>
  </si>
  <si>
    <t xml:space="preserve">01.03.2001</t>
  </si>
  <si>
    <t xml:space="preserve">P2</t>
  </si>
  <si>
    <t xml:space="preserve">Manikandan T</t>
  </si>
  <si>
    <t xml:space="preserve">14.03.2005</t>
  </si>
  <si>
    <t xml:space="preserve">K C Reghunath</t>
  </si>
  <si>
    <t xml:space="preserve">01.05.2008</t>
  </si>
  <si>
    <t xml:space="preserve">Sujesh K T</t>
  </si>
  <si>
    <t xml:space="preserve">01.10.2008</t>
  </si>
  <si>
    <t xml:space="preserve">Sunil Kumar K</t>
  </si>
  <si>
    <t xml:space="preserve">01.04.2008</t>
  </si>
  <si>
    <t xml:space="preserve">K M Girish Kumar</t>
  </si>
  <si>
    <t xml:space="preserve">22.12.2008</t>
  </si>
  <si>
    <t xml:space="preserve">Govind S Menon</t>
  </si>
  <si>
    <t xml:space="preserve">Sales Coordinator</t>
  </si>
  <si>
    <t xml:space="preserve">25.06.2008</t>
  </si>
  <si>
    <t xml:space="preserve">Rajeesh .P</t>
  </si>
  <si>
    <t xml:space="preserve">01.11.2008</t>
  </si>
  <si>
    <t xml:space="preserve">Bakery-North</t>
  </si>
  <si>
    <t xml:space="preserve">Abbas.B</t>
  </si>
  <si>
    <t xml:space="preserve">12.06.2009</t>
  </si>
  <si>
    <t xml:space="preserve">Unnikrishnan M</t>
  </si>
  <si>
    <t xml:space="preserve">Mechandiser </t>
  </si>
  <si>
    <t xml:space="preserve">28.09.2009</t>
  </si>
  <si>
    <t xml:space="preserve">F2</t>
  </si>
  <si>
    <t xml:space="preserve">Institutional Sales</t>
  </si>
  <si>
    <t xml:space="preserve">Gopinathan K</t>
  </si>
  <si>
    <t xml:space="preserve">07.09.2009</t>
  </si>
  <si>
    <t xml:space="preserve">R.Suriyan</t>
  </si>
  <si>
    <t xml:space="preserve">06.01.2018</t>
  </si>
  <si>
    <t xml:space="preserve">Jayakumar K P</t>
  </si>
  <si>
    <t xml:space="preserve">01.09.2010</t>
  </si>
  <si>
    <t xml:space="preserve">Prasanth V B</t>
  </si>
  <si>
    <t xml:space="preserve">10.03.2010</t>
  </si>
  <si>
    <t xml:space="preserve">Kalesh Kumar</t>
  </si>
  <si>
    <t xml:space="preserve">20.11.2009</t>
  </si>
  <si>
    <t xml:space="preserve">S Mohan Kumar</t>
  </si>
  <si>
    <t xml:space="preserve">01.04.2010</t>
  </si>
  <si>
    <t xml:space="preserve">Selvan R</t>
  </si>
  <si>
    <t xml:space="preserve">12.04.2010</t>
  </si>
  <si>
    <t xml:space="preserve">Snacks</t>
  </si>
  <si>
    <t xml:space="preserve">Bread &amp; Cakes</t>
  </si>
  <si>
    <t xml:space="preserve">Anu.E.J</t>
  </si>
  <si>
    <t xml:space="preserve">Sales Representative</t>
  </si>
  <si>
    <t xml:space="preserve">10.04.2018</t>
  </si>
  <si>
    <t xml:space="preserve">Vipin Kumar.V</t>
  </si>
  <si>
    <t xml:space="preserve">Navaneeth   Krishnan</t>
  </si>
  <si>
    <t xml:space="preserve">16.06.2010</t>
  </si>
  <si>
    <t xml:space="preserve">Modern Trade</t>
  </si>
  <si>
    <t xml:space="preserve">Sunil Kumar N.P.</t>
  </si>
  <si>
    <t xml:space="preserve">Merchandiser</t>
  </si>
  <si>
    <t xml:space="preserve">14.06.2010</t>
  </si>
  <si>
    <t xml:space="preserve">North Kerala Bakery</t>
  </si>
  <si>
    <t xml:space="preserve">Sudheer Babu P.</t>
  </si>
  <si>
    <t xml:space="preserve">28.06.2010</t>
  </si>
  <si>
    <t xml:space="preserve">Sreelal R</t>
  </si>
  <si>
    <t xml:space="preserve">01.02.2011</t>
  </si>
  <si>
    <t xml:space="preserve">Suresh Kumar</t>
  </si>
  <si>
    <t xml:space="preserve">06.10.2010</t>
  </si>
  <si>
    <t xml:space="preserve">Dinesh K G</t>
  </si>
  <si>
    <t xml:space="preserve">25.10.2010</t>
  </si>
  <si>
    <t xml:space="preserve">SM1</t>
  </si>
  <si>
    <t xml:space="preserve">Riyas S</t>
  </si>
  <si>
    <t xml:space="preserve">06.12.2010</t>
  </si>
  <si>
    <t xml:space="preserve">P.Naresh</t>
  </si>
  <si>
    <t xml:space="preserve">29.01.2018</t>
  </si>
  <si>
    <t xml:space="preserve">T.Amit Singh</t>
  </si>
  <si>
    <t xml:space="preserve">24.01.2018</t>
  </si>
  <si>
    <t xml:space="preserve">M.Prasanna Kumar</t>
  </si>
  <si>
    <t xml:space="preserve">19.02.2018</t>
  </si>
  <si>
    <t xml:space="preserve">J.Mithun</t>
  </si>
  <si>
    <t xml:space="preserve">Area Sales Manager</t>
  </si>
  <si>
    <t xml:space="preserve">05.04.2018</t>
  </si>
  <si>
    <t xml:space="preserve">AP</t>
  </si>
  <si>
    <t xml:space="preserve">Pandirajan</t>
  </si>
  <si>
    <t xml:space="preserve">31.03.2011</t>
  </si>
  <si>
    <t xml:space="preserve">Nasim Abdul Karim A M</t>
  </si>
  <si>
    <t xml:space="preserve">05.05.2011</t>
  </si>
  <si>
    <t xml:space="preserve">Harikumar S</t>
  </si>
  <si>
    <t xml:space="preserve">Van Sales Representative</t>
  </si>
  <si>
    <t xml:space="preserve">27.06.2011</t>
  </si>
  <si>
    <t xml:space="preserve">Sasidharan K.M</t>
  </si>
  <si>
    <t xml:space="preserve">07.07.2011</t>
  </si>
  <si>
    <t xml:space="preserve"> Bread &amp; Cakes</t>
  </si>
  <si>
    <t xml:space="preserve">Balachander N</t>
  </si>
  <si>
    <t xml:space="preserve">11.07.2011</t>
  </si>
  <si>
    <t xml:space="preserve">SM3</t>
  </si>
  <si>
    <t xml:space="preserve">Pradeep B S</t>
  </si>
  <si>
    <t xml:space="preserve">25.07.2011</t>
  </si>
  <si>
    <t xml:space="preserve">K.Paramashivan</t>
  </si>
  <si>
    <t xml:space="preserve">10.01.2018</t>
  </si>
  <si>
    <t xml:space="preserve">T.Mavendhan</t>
  </si>
  <si>
    <t xml:space="preserve"> SalesTrainee</t>
  </si>
  <si>
    <t xml:space="preserve">21.04.2018</t>
  </si>
  <si>
    <t xml:space="preserve">V.Balaji</t>
  </si>
  <si>
    <t xml:space="preserve">Territory Sales Manager </t>
  </si>
  <si>
    <t xml:space="preserve">23.04.2018</t>
  </si>
  <si>
    <t xml:space="preserve">Sajan M. Samuel</t>
  </si>
  <si>
    <t xml:space="preserve">12.09.2011</t>
  </si>
  <si>
    <t xml:space="preserve">D.Kumar</t>
  </si>
  <si>
    <t xml:space="preserve">20.09.2011</t>
  </si>
  <si>
    <t xml:space="preserve">Mohan Raj.G</t>
  </si>
  <si>
    <t xml:space="preserve">M. Durairaj</t>
  </si>
  <si>
    <t xml:space="preserve">26.09.2011</t>
  </si>
  <si>
    <t xml:space="preserve">T. Sudhakar</t>
  </si>
  <si>
    <t xml:space="preserve">09.11.2011</t>
  </si>
  <si>
    <t xml:space="preserve">Shaheed V.S </t>
  </si>
  <si>
    <t xml:space="preserve">02.12.2011</t>
  </si>
  <si>
    <t xml:space="preserve">Gireesh Kumar .A </t>
  </si>
  <si>
    <t xml:space="preserve">19.03.2012</t>
  </si>
  <si>
    <t xml:space="preserve">Bread &amp;Cake </t>
  </si>
  <si>
    <t xml:space="preserve">Riyasudheen B.</t>
  </si>
  <si>
    <t xml:space="preserve">16.04.2012</t>
  </si>
  <si>
    <t xml:space="preserve">Balu V Das</t>
  </si>
  <si>
    <t xml:space="preserve">Bashayir Ahamed.M.S</t>
  </si>
  <si>
    <t xml:space="preserve">24.11.2017</t>
  </si>
  <si>
    <t xml:space="preserve">Girisha R</t>
  </si>
  <si>
    <t xml:space="preserve">23.04.2012</t>
  </si>
  <si>
    <t xml:space="preserve">Harish Mirajkar</t>
  </si>
  <si>
    <t xml:space="preserve">Nobil P T</t>
  </si>
  <si>
    <t xml:space="preserve">18.06.2012</t>
  </si>
  <si>
    <t xml:space="preserve">Vinaya Prasad M P</t>
  </si>
  <si>
    <t xml:space="preserve">09.07.2012</t>
  </si>
  <si>
    <t xml:space="preserve">Rajesh Kumar R</t>
  </si>
  <si>
    <t xml:space="preserve">11.07.2012</t>
  </si>
  <si>
    <t xml:space="preserve">Sudheesh Kumar Mk</t>
  </si>
  <si>
    <t xml:space="preserve">01.08.2012</t>
  </si>
  <si>
    <t xml:space="preserve">Mathews Devasia</t>
  </si>
  <si>
    <t xml:space="preserve">10.09.2012</t>
  </si>
  <si>
    <t xml:space="preserve">Bread &amp;Cakes </t>
  </si>
  <si>
    <t xml:space="preserve">Ajith A.G</t>
  </si>
  <si>
    <t xml:space="preserve">01.10.2012</t>
  </si>
  <si>
    <t xml:space="preserve">Krishnaprasad V.S.</t>
  </si>
  <si>
    <t xml:space="preserve">26.06.2014</t>
  </si>
  <si>
    <t xml:space="preserve">Ranjith K.S</t>
  </si>
  <si>
    <t xml:space="preserve">25.10.2012</t>
  </si>
  <si>
    <t xml:space="preserve">P. Gopi</t>
  </si>
  <si>
    <t xml:space="preserve">01.12.2012</t>
  </si>
  <si>
    <t xml:space="preserve">Balu.G</t>
  </si>
  <si>
    <t xml:space="preserve">Territory Sales Executive</t>
  </si>
  <si>
    <t xml:space="preserve">24.04.2018</t>
  </si>
  <si>
    <t xml:space="preserve">P. Senthilkumar</t>
  </si>
  <si>
    <t xml:space="preserve">04.10.2010</t>
  </si>
  <si>
    <t xml:space="preserve">Arulmozhi S</t>
  </si>
  <si>
    <t xml:space="preserve">14.06.2011</t>
  </si>
  <si>
    <t xml:space="preserve">Shibu Samuel</t>
  </si>
  <si>
    <t xml:space="preserve">10.12.2012</t>
  </si>
  <si>
    <t xml:space="preserve">Sujith O.S</t>
  </si>
  <si>
    <t xml:space="preserve">24.12.2012</t>
  </si>
  <si>
    <t xml:space="preserve">Ramesh.S </t>
  </si>
  <si>
    <t xml:space="preserve">04.02.2013</t>
  </si>
  <si>
    <t xml:space="preserve">Dinesh Kumar C</t>
  </si>
  <si>
    <t xml:space="preserve">01.03.2013</t>
  </si>
  <si>
    <t xml:space="preserve">Sreekanth M.S </t>
  </si>
  <si>
    <t xml:space="preserve">22.04.2013</t>
  </si>
  <si>
    <t xml:space="preserve">Sudheer K.V </t>
  </si>
  <si>
    <t xml:space="preserve">10.02.1991</t>
  </si>
  <si>
    <t xml:space="preserve">South Kerala Bakery</t>
  </si>
  <si>
    <t xml:space="preserve">Santhosh Kumar .K  </t>
  </si>
  <si>
    <t xml:space="preserve">10.03.1990</t>
  </si>
  <si>
    <t xml:space="preserve">Harshakumar </t>
  </si>
  <si>
    <t xml:space="preserve">04.04.1995</t>
  </si>
  <si>
    <t xml:space="preserve">Binoy Joseph </t>
  </si>
  <si>
    <t xml:space="preserve">01.01.2014</t>
  </si>
  <si>
    <t xml:space="preserve">Thirumalai Kumaran.V </t>
  </si>
  <si>
    <t xml:space="preserve">11.02.2014</t>
  </si>
  <si>
    <t xml:space="preserve">Prabhakaran K V</t>
  </si>
  <si>
    <t xml:space="preserve">20.02.2010</t>
  </si>
  <si>
    <t xml:space="preserve">Girish P V</t>
  </si>
  <si>
    <t xml:space="preserve">Vansale Representative</t>
  </si>
  <si>
    <t xml:space="preserve">26.07.2010</t>
  </si>
  <si>
    <t xml:space="preserve">Shakeer A</t>
  </si>
  <si>
    <t xml:space="preserve">27.09.2010</t>
  </si>
  <si>
    <t xml:space="preserve">Shaji.Damodaran .</t>
  </si>
  <si>
    <t xml:space="preserve">20.12.2010</t>
  </si>
  <si>
    <t xml:space="preserve">Dileep Kumar N</t>
  </si>
  <si>
    <t xml:space="preserve">03.02.2011</t>
  </si>
  <si>
    <t xml:space="preserve">Jithesh.R</t>
  </si>
  <si>
    <t xml:space="preserve">20.02.2012</t>
  </si>
  <si>
    <t xml:space="preserve">Sumesh E.G</t>
  </si>
  <si>
    <t xml:space="preserve">03.09.2012</t>
  </si>
  <si>
    <t xml:space="preserve">Dileep K</t>
  </si>
  <si>
    <t xml:space="preserve">19.10.2012</t>
  </si>
  <si>
    <t xml:space="preserve">Shihab.Y </t>
  </si>
  <si>
    <t xml:space="preserve">26.08.2013</t>
  </si>
  <si>
    <t xml:space="preserve">Rakesh P.R. </t>
  </si>
  <si>
    <t xml:space="preserve">Merchandiser </t>
  </si>
  <si>
    <t xml:space="preserve">07.04.2014</t>
  </si>
  <si>
    <t xml:space="preserve">Manoj .K </t>
  </si>
  <si>
    <t xml:space="preserve">28.04.2014</t>
  </si>
  <si>
    <t xml:space="preserve">K.Balaji.  </t>
  </si>
  <si>
    <t xml:space="preserve">30.05.2014</t>
  </si>
  <si>
    <t xml:space="preserve">Sreejith.S.Nair .</t>
  </si>
  <si>
    <t xml:space="preserve">02.06.2014</t>
  </si>
  <si>
    <t xml:space="preserve">P.K.Selvakumar </t>
  </si>
  <si>
    <t xml:space="preserve">G.Sampath </t>
  </si>
  <si>
    <t xml:space="preserve">Sujesh .K </t>
  </si>
  <si>
    <t xml:space="preserve">s1</t>
  </si>
  <si>
    <t xml:space="preserve">Vinod Kumar .S</t>
  </si>
  <si>
    <t xml:space="preserve">Sayikumar M.R </t>
  </si>
  <si>
    <t xml:space="preserve">Saidalavi Koya K.V.</t>
  </si>
  <si>
    <t xml:space="preserve">04.07.2014</t>
  </si>
  <si>
    <t xml:space="preserve">Sampath Kumar </t>
  </si>
  <si>
    <t xml:space="preserve">29.07.2014</t>
  </si>
  <si>
    <t xml:space="preserve">Shaji P.K</t>
  </si>
  <si>
    <t xml:space="preserve">04.08.2014</t>
  </si>
  <si>
    <t xml:space="preserve">James Varkey Mandapathil </t>
  </si>
  <si>
    <t xml:space="preserve">Roshil.K.S</t>
  </si>
  <si>
    <t xml:space="preserve">Sales Represntative</t>
  </si>
  <si>
    <t xml:space="preserve">Prasad P.P.</t>
  </si>
  <si>
    <t xml:space="preserve">18.08.2014</t>
  </si>
  <si>
    <t xml:space="preserve">Gopakumar K.V.</t>
  </si>
  <si>
    <t xml:space="preserve">Executive - Logistics</t>
  </si>
  <si>
    <t xml:space="preserve">08.12.2014</t>
  </si>
  <si>
    <t xml:space="preserve">P1</t>
  </si>
  <si>
    <t xml:space="preserve">North Kerala - Breads &amp; Cakes</t>
  </si>
  <si>
    <t xml:space="preserve">Rajesh Kumar K.M </t>
  </si>
  <si>
    <t xml:space="preserve">01.01.2015</t>
  </si>
  <si>
    <t xml:space="preserve">Vishnu Prasad.R</t>
  </si>
  <si>
    <t xml:space="preserve">07.12.2017</t>
  </si>
  <si>
    <t xml:space="preserve">Ranjeet.N</t>
  </si>
  <si>
    <t xml:space="preserve">11.12.2017</t>
  </si>
  <si>
    <t xml:space="preserve">Vipin.K.V</t>
  </si>
  <si>
    <t xml:space="preserve">15.12.2017</t>
  </si>
  <si>
    <t xml:space="preserve">Manikandan.C</t>
  </si>
  <si>
    <t xml:space="preserve">03.0.12018</t>
  </si>
  <si>
    <t xml:space="preserve">Ajeesh.K.R</t>
  </si>
  <si>
    <t xml:space="preserve">Executive -MIS &amp; Sales Admin</t>
  </si>
  <si>
    <t xml:space="preserve">08.01.2018</t>
  </si>
  <si>
    <t xml:space="preserve">Mukundan .K </t>
  </si>
  <si>
    <t xml:space="preserve">02.02.2015</t>
  </si>
  <si>
    <t xml:space="preserve">Gopakumar E.K. </t>
  </si>
  <si>
    <t xml:space="preserve">20.05.2015</t>
  </si>
  <si>
    <t xml:space="preserve">Akhil Rajendran </t>
  </si>
  <si>
    <t xml:space="preserve">16.05.2015</t>
  </si>
  <si>
    <t xml:space="preserve">Ajeesh T.P.</t>
  </si>
  <si>
    <t xml:space="preserve">11.07.2015</t>
  </si>
  <si>
    <t xml:space="preserve">Eldho  Mathew </t>
  </si>
  <si>
    <t xml:space="preserve">01.09.2015</t>
  </si>
  <si>
    <t xml:space="preserve">Ajesh.T.N</t>
  </si>
  <si>
    <t xml:space="preserve">V.Dhandapani</t>
  </si>
  <si>
    <t xml:space="preserve">Jaya Kumar.S </t>
  </si>
  <si>
    <t xml:space="preserve">13.09.2014</t>
  </si>
  <si>
    <t xml:space="preserve">South 2 -Bread &amp;Cake </t>
  </si>
  <si>
    <t xml:space="preserve">Siddappa .L </t>
  </si>
  <si>
    <t xml:space="preserve">02.11.2015</t>
  </si>
  <si>
    <t xml:space="preserve">F</t>
  </si>
  <si>
    <t xml:space="preserve">Shivamurthy .T.V</t>
  </si>
  <si>
    <t xml:space="preserve">25.09.2013</t>
  </si>
  <si>
    <t xml:space="preserve">Mohammed Jahangir Ali </t>
  </si>
  <si>
    <t xml:space="preserve">24.11.2014</t>
  </si>
  <si>
    <t xml:space="preserve">B.Swarna</t>
  </si>
  <si>
    <t xml:space="preserve">13.12.2017</t>
  </si>
  <si>
    <t xml:space="preserve">F1</t>
  </si>
  <si>
    <t xml:space="preserve">Mahesha M.D.</t>
  </si>
  <si>
    <t xml:space="preserve">23.03.2015</t>
  </si>
  <si>
    <t xml:space="preserve">Francis Xavier</t>
  </si>
  <si>
    <t xml:space="preserve">24.04.2015</t>
  </si>
  <si>
    <t xml:space="preserve">Kasinath .G </t>
  </si>
  <si>
    <t xml:space="preserve">20.08.2015</t>
  </si>
  <si>
    <t xml:space="preserve">Ramesh .N </t>
  </si>
  <si>
    <t xml:space="preserve">24.08.2015</t>
  </si>
  <si>
    <t xml:space="preserve">Murthy K.N.</t>
  </si>
  <si>
    <t xml:space="preserve">Merchandiser - Bangalore </t>
  </si>
  <si>
    <t xml:space="preserve">16.12.2015</t>
  </si>
  <si>
    <t xml:space="preserve">M.Raghu </t>
  </si>
  <si>
    <t xml:space="preserve">04.12.2015</t>
  </si>
  <si>
    <t xml:space="preserve">Venkatesan .P</t>
  </si>
  <si>
    <t xml:space="preserve">01.01.2016</t>
  </si>
  <si>
    <t xml:space="preserve">Vishnu.V </t>
  </si>
  <si>
    <t xml:space="preserve">04.01.2016</t>
  </si>
  <si>
    <t xml:space="preserve">Suresh.G .</t>
  </si>
  <si>
    <t xml:space="preserve">07.01.2016</t>
  </si>
  <si>
    <t xml:space="preserve">Siju. P</t>
  </si>
  <si>
    <t xml:space="preserve">Van Sales Representative </t>
  </si>
  <si>
    <t xml:space="preserve">Vishwanath Nikam </t>
  </si>
  <si>
    <t xml:space="preserve">01.06.2013</t>
  </si>
  <si>
    <t xml:space="preserve">Pravin B Khandare</t>
  </si>
  <si>
    <t xml:space="preserve">05.08.2013</t>
  </si>
  <si>
    <t xml:space="preserve">Mujeeb Salim Khan</t>
  </si>
  <si>
    <t xml:space="preserve">31.05.2013</t>
  </si>
  <si>
    <t xml:space="preserve">Pankaj S.Singh </t>
  </si>
  <si>
    <t xml:space="preserve">07.05.2015</t>
  </si>
  <si>
    <t xml:space="preserve">Santhosh Laxman Mankumbra</t>
  </si>
  <si>
    <t xml:space="preserve">07.07.2015</t>
  </si>
  <si>
    <t xml:space="preserve">Suresh R </t>
  </si>
  <si>
    <t xml:space="preserve">04.03.2016</t>
  </si>
  <si>
    <t xml:space="preserve">Ratheesh .R </t>
  </si>
  <si>
    <t xml:space="preserve">10.03.2016</t>
  </si>
  <si>
    <t xml:space="preserve">Sandip P Patil</t>
  </si>
  <si>
    <t xml:space="preserve">07.04.2016</t>
  </si>
  <si>
    <t xml:space="preserve">Robinson.G</t>
  </si>
  <si>
    <t xml:space="preserve">25.04.2016</t>
  </si>
  <si>
    <t xml:space="preserve">Sijo A J</t>
  </si>
  <si>
    <t xml:space="preserve">16.05.2016</t>
  </si>
  <si>
    <t xml:space="preserve">Varghese Chacko</t>
  </si>
  <si>
    <t xml:space="preserve">08.06.2016</t>
  </si>
  <si>
    <t xml:space="preserve">Anto Kurian Karokaran</t>
  </si>
  <si>
    <t xml:space="preserve">18.04.2016</t>
  </si>
  <si>
    <t xml:space="preserve">Rice Division</t>
  </si>
  <si>
    <t xml:space="preserve">Retail</t>
  </si>
  <si>
    <t xml:space="preserve">Dharmesh Nai</t>
  </si>
  <si>
    <t xml:space="preserve">20.06.2016</t>
  </si>
  <si>
    <t xml:space="preserve">Akbar.N</t>
  </si>
  <si>
    <t xml:space="preserve">Sales Representative </t>
  </si>
  <si>
    <t xml:space="preserve">01.07.2016</t>
  </si>
  <si>
    <t xml:space="preserve">Sinil Raj T.R </t>
  </si>
  <si>
    <t xml:space="preserve">15.07.2016</t>
  </si>
  <si>
    <t xml:space="preserve">S. Veerabathiran </t>
  </si>
  <si>
    <t xml:space="preserve">03.08.2016</t>
  </si>
  <si>
    <t xml:space="preserve">Krishna Kumar M.C </t>
  </si>
  <si>
    <t xml:space="preserve">22.08.2016</t>
  </si>
  <si>
    <t xml:space="preserve">South 1 -Bread &amp;Cake </t>
  </si>
  <si>
    <t xml:space="preserve">Anil Babu </t>
  </si>
  <si>
    <t xml:space="preserve">05.09.2016</t>
  </si>
  <si>
    <t xml:space="preserve">Vishnu.S </t>
  </si>
  <si>
    <t xml:space="preserve">06.09.2016</t>
  </si>
  <si>
    <t xml:space="preserve"> Noushad M</t>
  </si>
  <si>
    <t xml:space="preserve">22.09.2016</t>
  </si>
  <si>
    <t xml:space="preserve">Aneesh Kumar K</t>
  </si>
  <si>
    <t xml:space="preserve">26.09.2016</t>
  </si>
  <si>
    <t xml:space="preserve">Vijith .T.P.</t>
  </si>
  <si>
    <t xml:space="preserve">10.11.2016</t>
  </si>
  <si>
    <t xml:space="preserve">Sanjay Govind Raut </t>
  </si>
  <si>
    <t xml:space="preserve">24.11.2016</t>
  </si>
  <si>
    <t xml:space="preserve">Sanoop.C </t>
  </si>
  <si>
    <t xml:space="preserve">23.11.2016</t>
  </si>
  <si>
    <t xml:space="preserve">Akshay.P.M .</t>
  </si>
  <si>
    <t xml:space="preserve">29.11.2016</t>
  </si>
  <si>
    <t xml:space="preserve">Jomon Peter .</t>
  </si>
  <si>
    <t xml:space="preserve">28.11.2016</t>
  </si>
  <si>
    <t xml:space="preserve">Jismon John</t>
  </si>
  <si>
    <t xml:space="preserve">01.12.2016</t>
  </si>
  <si>
    <t xml:space="preserve">Mansoor M</t>
  </si>
  <si>
    <t xml:space="preserve">Ashkar M P</t>
  </si>
  <si>
    <t xml:space="preserve">03.12.2016</t>
  </si>
  <si>
    <t xml:space="preserve">Sreejith Mon A R</t>
  </si>
  <si>
    <t xml:space="preserve">06.12.2016</t>
  </si>
  <si>
    <t xml:space="preserve">P Deepakraj</t>
  </si>
  <si>
    <t xml:space="preserve">09.12.2016</t>
  </si>
  <si>
    <t xml:space="preserve">Venugopalan T S</t>
  </si>
  <si>
    <t xml:space="preserve">Delivery Boy</t>
  </si>
  <si>
    <t xml:space="preserve">12.12.2016</t>
  </si>
  <si>
    <t xml:space="preserve">Suresh.K</t>
  </si>
  <si>
    <t xml:space="preserve">15.12.2016</t>
  </si>
  <si>
    <t xml:space="preserve">Sonu Kumar .</t>
  </si>
  <si>
    <t xml:space="preserve">19.12.2016</t>
  </si>
  <si>
    <t xml:space="preserve">D.Siva Chandra Prasad</t>
  </si>
  <si>
    <t xml:space="preserve">Mithun T Mathew</t>
  </si>
  <si>
    <t xml:space="preserve">17.12.2016</t>
  </si>
  <si>
    <t xml:space="preserve">Muhammed Maheen A R</t>
  </si>
  <si>
    <t xml:space="preserve">Prasad M C</t>
  </si>
  <si>
    <t xml:space="preserve">Mohammed Rahees K P</t>
  </si>
  <si>
    <t xml:space="preserve">Assisstant-Accounts- CPS* depo</t>
  </si>
  <si>
    <t xml:space="preserve">07.01.2017</t>
  </si>
  <si>
    <t xml:space="preserve">Sushant Mandrekar</t>
  </si>
  <si>
    <t xml:space="preserve">02.01.2017</t>
  </si>
  <si>
    <t xml:space="preserve">Goa</t>
  </si>
  <si>
    <t xml:space="preserve">Sonali.V.Sonavane</t>
  </si>
  <si>
    <t xml:space="preserve">20.12.2017</t>
  </si>
  <si>
    <t xml:space="preserve"> Prasanna Gaikwad</t>
  </si>
  <si>
    <t xml:space="preserve">09.01.2017</t>
  </si>
  <si>
    <t xml:space="preserve">Lokesh E</t>
  </si>
  <si>
    <t xml:space="preserve">18.01.2017</t>
  </si>
  <si>
    <t xml:space="preserve">Mohammed Shakir Ansari</t>
  </si>
  <si>
    <t xml:space="preserve">01.02.2017</t>
  </si>
  <si>
    <t xml:space="preserve">Sandeep Swaroop</t>
  </si>
  <si>
    <t xml:space="preserve">09.02.2017</t>
  </si>
  <si>
    <t xml:space="preserve">Ranajith.O</t>
  </si>
  <si>
    <t xml:space="preserve">Sales Representative-Kannur</t>
  </si>
  <si>
    <t xml:space="preserve">13.02.2017</t>
  </si>
  <si>
    <t xml:space="preserve">Gireesh Kumar.T.G</t>
  </si>
  <si>
    <t xml:space="preserve">14.02.2017</t>
  </si>
  <si>
    <t xml:space="preserve">Renjith.R</t>
  </si>
  <si>
    <t xml:space="preserve">Sales Representative-Attingal</t>
  </si>
  <si>
    <t xml:space="preserve">03.04.2017</t>
  </si>
  <si>
    <t xml:space="preserve">Nithin Mathew</t>
  </si>
  <si>
    <t xml:space="preserve">Sales Representative-Kattapana</t>
  </si>
  <si>
    <t xml:space="preserve">07.04.2017</t>
  </si>
  <si>
    <t xml:space="preserve">Muhammad Nishad.N</t>
  </si>
  <si>
    <t xml:space="preserve">19.04.2017</t>
  </si>
  <si>
    <t xml:space="preserve">G.Muthukumar</t>
  </si>
  <si>
    <t xml:space="preserve">02.05.2017</t>
  </si>
  <si>
    <t xml:space="preserve">Kunjumon.V</t>
  </si>
  <si>
    <t xml:space="preserve">K.Premkumar</t>
  </si>
  <si>
    <t xml:space="preserve">05.05.2017</t>
  </si>
  <si>
    <t xml:space="preserve">Ganesh Kumar.B</t>
  </si>
  <si>
    <t xml:space="preserve">Sales Representative-Changanassery</t>
  </si>
  <si>
    <t xml:space="preserve">10.05.2017</t>
  </si>
  <si>
    <t xml:space="preserve">Jijo.A.G</t>
  </si>
  <si>
    <t xml:space="preserve">11.05.2017</t>
  </si>
  <si>
    <t xml:space="preserve">Chandrakumar.M</t>
  </si>
  <si>
    <t xml:space="preserve">20.05.2017</t>
  </si>
  <si>
    <t xml:space="preserve">Vibin Raj.R</t>
  </si>
  <si>
    <t xml:space="preserve">17.05.2017</t>
  </si>
  <si>
    <t xml:space="preserve">Vinod.S</t>
  </si>
  <si>
    <t xml:space="preserve">22.05.2017</t>
  </si>
  <si>
    <t xml:space="preserve">Bobin.P.Joseph</t>
  </si>
  <si>
    <t xml:space="preserve">Merchandiser-Kottayam</t>
  </si>
  <si>
    <t xml:space="preserve">24.05.2017</t>
  </si>
  <si>
    <t xml:space="preserve">Jithesh Chirammal Valappil</t>
  </si>
  <si>
    <t xml:space="preserve">Sunil Kumar.K.S</t>
  </si>
  <si>
    <t xml:space="preserve">05.06.2017</t>
  </si>
  <si>
    <t xml:space="preserve">Parikh Nayan Kumar Navinchandra</t>
  </si>
  <si>
    <t xml:space="preserve">K.Abdulla Sheriff</t>
  </si>
  <si>
    <t xml:space="preserve">Sales Rep.Madurai</t>
  </si>
  <si>
    <t xml:space="preserve">08.06.2017</t>
  </si>
  <si>
    <t xml:space="preserve">Shivanand.H.Reddy</t>
  </si>
  <si>
    <t xml:space="preserve">Yashin Xavier.K.G</t>
  </si>
  <si>
    <t xml:space="preserve">09.06.2017</t>
  </si>
  <si>
    <t xml:space="preserve">V.Nancharaiah</t>
  </si>
  <si>
    <t xml:space="preserve">08.08.2017</t>
  </si>
  <si>
    <t xml:space="preserve">M.Kishore</t>
  </si>
  <si>
    <t xml:space="preserve">12.03.2018</t>
  </si>
  <si>
    <t xml:space="preserve">Kannadasan.A</t>
  </si>
  <si>
    <t xml:space="preserve">Anshuman Singh</t>
  </si>
  <si>
    <t xml:space="preserve">15.03.2018</t>
  </si>
  <si>
    <t xml:space="preserve">Sirajuddin Patel</t>
  </si>
  <si>
    <t xml:space="preserve">26.03.2018</t>
  </si>
  <si>
    <t xml:space="preserve">Sunil.R.Singh</t>
  </si>
  <si>
    <t xml:space="preserve">01.08.2017</t>
  </si>
  <si>
    <t xml:space="preserve">Abdul Jabar</t>
  </si>
  <si>
    <t xml:space="preserve">23.08.17</t>
  </si>
  <si>
    <t xml:space="preserve">Ramu.P .</t>
  </si>
  <si>
    <t xml:space="preserve">Jayadevan.P</t>
  </si>
  <si>
    <t xml:space="preserve">06.09.2017</t>
  </si>
  <si>
    <t xml:space="preserve">Rakesh Sivadas</t>
  </si>
  <si>
    <t xml:space="preserve">01.03.2018</t>
  </si>
  <si>
    <t xml:space="preserve">Anoop.C</t>
  </si>
  <si>
    <t xml:space="preserve">09.09.2017</t>
  </si>
  <si>
    <t xml:space="preserve">Muralikrishnan.A.C</t>
  </si>
  <si>
    <t xml:space="preserve">07.09.2017</t>
  </si>
  <si>
    <t xml:space="preserve">Central Kerala - Breads &amp; Cakes</t>
  </si>
  <si>
    <t xml:space="preserve">Varghese.T.Thomas</t>
  </si>
  <si>
    <t xml:space="preserve">Mahendra Dattaram Mhatre</t>
  </si>
  <si>
    <t xml:space="preserve">15.09.2017</t>
  </si>
  <si>
    <t xml:space="preserve">Jithu.K.S</t>
  </si>
  <si>
    <t xml:space="preserve">27.09.2017</t>
  </si>
  <si>
    <t xml:space="preserve">Anoop.K</t>
  </si>
  <si>
    <t xml:space="preserve">03.10.2017</t>
  </si>
  <si>
    <t xml:space="preserve">Rajkumar Ramchandra Khedekar</t>
  </si>
  <si>
    <t xml:space="preserve">West</t>
  </si>
  <si>
    <t xml:space="preserve">Kiran Savanth.S</t>
  </si>
  <si>
    <t xml:space="preserve">04.10.2017</t>
  </si>
  <si>
    <t xml:space="preserve">Rajith.B</t>
  </si>
  <si>
    <t xml:space="preserve">09.10.2017</t>
  </si>
  <si>
    <t xml:space="preserve">Vishnu.M.T</t>
  </si>
  <si>
    <t xml:space="preserve">Linson.C.L</t>
  </si>
  <si>
    <t xml:space="preserve">19.03.2018</t>
  </si>
  <si>
    <t xml:space="preserve">Sales</t>
  </si>
  <si>
    <t xml:space="preserve">Dinu George</t>
  </si>
  <si>
    <t xml:space="preserve">V.Dasharath</t>
  </si>
  <si>
    <t xml:space="preserve">11.10.2017</t>
  </si>
  <si>
    <t xml:space="preserve">Vineeth Vikraman.K</t>
  </si>
  <si>
    <t xml:space="preserve">20.10.2017</t>
  </si>
  <si>
    <t xml:space="preserve">Seeji.M</t>
  </si>
  <si>
    <t xml:space="preserve">14.11.2017</t>
  </si>
  <si>
    <t xml:space="preserve">Nithul Madhusudhanan</t>
  </si>
  <si>
    <t xml:space="preserve">06.11.2017</t>
  </si>
  <si>
    <t xml:space="preserve">Shafil.K.R</t>
  </si>
  <si>
    <t xml:space="preserve">Sales Rep</t>
  </si>
  <si>
    <t xml:space="preserve">09.11.2017</t>
  </si>
  <si>
    <t xml:space="preserve">Ankit Shashikant Mishra</t>
  </si>
  <si>
    <t xml:space="preserve">01.11.2017</t>
  </si>
  <si>
    <t xml:space="preserve">Rohit.B.Kamath</t>
  </si>
  <si>
    <t xml:space="preserve">Siju.P.S</t>
  </si>
  <si>
    <t xml:space="preserve">15.11.2017</t>
  </si>
  <si>
    <t xml:space="preserve">CPD South</t>
  </si>
  <si>
    <t xml:space="preserve">Sameer.C.P</t>
  </si>
  <si>
    <t xml:space="preserve">CPD North</t>
  </si>
  <si>
    <t xml:space="preserve">Srikanth.</t>
  </si>
  <si>
    <t xml:space="preserve">02.11.2017</t>
  </si>
  <si>
    <t xml:space="preserve"> 1335</t>
  </si>
  <si>
    <t xml:space="preserve">Sajeendran Cg</t>
  </si>
  <si>
    <t xml:space="preserve">01.10.2009</t>
  </si>
  <si>
    <t xml:space="preserve">Feggy Thomas</t>
  </si>
  <si>
    <t xml:space="preserve">E1</t>
  </si>
  <si>
    <t xml:space="preserve">Saneesh.P.B</t>
  </si>
  <si>
    <t xml:space="preserve">20.03.2018</t>
  </si>
  <si>
    <t xml:space="preserve">Dudhin.D</t>
  </si>
  <si>
    <t xml:space="preserve">Sonia Jagadeesh</t>
  </si>
  <si>
    <t xml:space="preserve">Executive - Sales Coordination</t>
  </si>
  <si>
    <t xml:space="preserve">01.01.2008</t>
  </si>
  <si>
    <t xml:space="preserve">Sales Support</t>
  </si>
  <si>
    <t xml:space="preserve">Bini Sijo</t>
  </si>
  <si>
    <t xml:space="preserve">16.01.2018</t>
  </si>
  <si>
    <t xml:space="preserve">Sijimon.R</t>
  </si>
  <si>
    <t xml:space="preserve">01.01.2018</t>
  </si>
  <si>
    <t xml:space="preserve">P K Beena</t>
  </si>
  <si>
    <t xml:space="preserve">Assistant Manager </t>
  </si>
  <si>
    <t xml:space="preserve">02.02.1998</t>
  </si>
  <si>
    <t xml:space="preserve">Suma Rajan</t>
  </si>
  <si>
    <t xml:space="preserve">Depot In-Charge </t>
  </si>
  <si>
    <t xml:space="preserve">02.06.2008</t>
  </si>
  <si>
    <t xml:space="preserve">YRFM Depot</t>
  </si>
  <si>
    <t xml:space="preserve">Swapna S Pillai</t>
  </si>
  <si>
    <t xml:space="preserve">Depot In-Charge</t>
  </si>
  <si>
    <t xml:space="preserve">01.12.2008</t>
  </si>
  <si>
    <t xml:space="preserve">Gayathri.M</t>
  </si>
  <si>
    <t xml:space="preserve">Assistant </t>
  </si>
  <si>
    <t xml:space="preserve">11.01.2011</t>
  </si>
  <si>
    <t xml:space="preserve">Nikesh V.M.</t>
  </si>
  <si>
    <t xml:space="preserve">Depot-in-charge-Thrissur</t>
  </si>
  <si>
    <t xml:space="preserve">01.02.2012</t>
  </si>
  <si>
    <t xml:space="preserve">Balakrishnan Nair G.</t>
  </si>
  <si>
    <t xml:space="preserve">Depot In-Charge - Attingal</t>
  </si>
  <si>
    <t xml:space="preserve">26.12.2011</t>
  </si>
  <si>
    <t xml:space="preserve">Sreedevi S.K.</t>
  </si>
  <si>
    <t xml:space="preserve">04.04.2012</t>
  </si>
  <si>
    <t xml:space="preserve">Deepa M.M</t>
  </si>
  <si>
    <t xml:space="preserve"> Assistant - CRM</t>
  </si>
  <si>
    <t xml:space="preserve">11.01.2016</t>
  </si>
  <si>
    <t xml:space="preserve">Ansar .B </t>
  </si>
  <si>
    <t xml:space="preserve">Sales Man</t>
  </si>
  <si>
    <t xml:space="preserve">Soumya K S</t>
  </si>
  <si>
    <t xml:space="preserve">Sales Co ordinator</t>
  </si>
  <si>
    <t xml:space="preserve">01.08.2009</t>
  </si>
  <si>
    <t xml:space="preserve">Smitha.V</t>
  </si>
  <si>
    <t xml:space="preserve">Depo-Assisstant </t>
  </si>
  <si>
    <t xml:space="preserve">17.10.2016</t>
  </si>
  <si>
    <t xml:space="preserve">Sunil Kumar.C.S</t>
  </si>
  <si>
    <t xml:space="preserve">Delivery boy</t>
  </si>
  <si>
    <t xml:space="preserve">13.03.2017</t>
  </si>
  <si>
    <t xml:space="preserve">Jishamol Joshy</t>
  </si>
  <si>
    <t xml:space="preserve">Depot in Charge-Kattapana</t>
  </si>
  <si>
    <t xml:space="preserve">29.05.2017</t>
  </si>
  <si>
    <t xml:space="preserve">Aneesh Kumar.G.T</t>
  </si>
  <si>
    <t xml:space="preserve">Delivery boy-Cherthala Depot</t>
  </si>
  <si>
    <t xml:space="preserve">01.10.2017</t>
  </si>
  <si>
    <t xml:space="preserve">Sheeja.N.T</t>
  </si>
  <si>
    <t xml:space="preserve">Sr. Assistant </t>
  </si>
  <si>
    <t xml:space="preserve">11.01.2010</t>
  </si>
  <si>
    <t xml:space="preserve">F3</t>
  </si>
  <si>
    <t xml:space="preserve">Jisha.M.V</t>
  </si>
  <si>
    <t xml:space="preserve">Executive </t>
  </si>
  <si>
    <t xml:space="preserve">02.01.2008</t>
  </si>
  <si>
    <t xml:space="preserve">Pradeepa.K.S</t>
  </si>
  <si>
    <t xml:space="preserve">Agro </t>
  </si>
  <si>
    <t xml:space="preserve">Sajeev T</t>
  </si>
  <si>
    <t xml:space="preserve">Assistant - Accounts</t>
  </si>
  <si>
    <t xml:space="preserve">14.03.2011</t>
  </si>
  <si>
    <t xml:space="preserve">Sandeep P.V.</t>
  </si>
  <si>
    <t xml:space="preserve">Jr.Executive - Accounts</t>
  </si>
  <si>
    <t xml:space="preserve">02.05.2014</t>
  </si>
  <si>
    <t xml:space="preserve">Anusagar.A </t>
  </si>
  <si>
    <t xml:space="preserve">01.08.2014</t>
  </si>
  <si>
    <t xml:space="preserve">Sandeep P G</t>
  </si>
  <si>
    <t xml:space="preserve">12.02.2010</t>
  </si>
  <si>
    <t xml:space="preserve">Asharaf Ali K</t>
  </si>
  <si>
    <t xml:space="preserve">Agro Depot </t>
  </si>
  <si>
    <t xml:space="preserve">Nahas F</t>
  </si>
  <si>
    <t xml:space="preserve">09.05.2011</t>
  </si>
  <si>
    <t xml:space="preserve">Anilkumar K.D</t>
  </si>
  <si>
    <t xml:space="preserve">23.03.2012</t>
  </si>
  <si>
    <t xml:space="preserve">Ramesh Kumar M.R </t>
  </si>
  <si>
    <t xml:space="preserve">20.04.2013</t>
  </si>
  <si>
    <t xml:space="preserve">Dhananjayan V.K</t>
  </si>
  <si>
    <t xml:space="preserve">29.05.2013</t>
  </si>
  <si>
    <t xml:space="preserve">Castro Joseph .J</t>
  </si>
  <si>
    <t xml:space="preserve">25.06.2013</t>
  </si>
  <si>
    <t xml:space="preserve">Nisam .F </t>
  </si>
  <si>
    <t xml:space="preserve">15.07.2013</t>
  </si>
  <si>
    <t xml:space="preserve">Vishnu Kumar.M .</t>
  </si>
  <si>
    <t xml:space="preserve">02.12.2013</t>
  </si>
  <si>
    <t xml:space="preserve">Sumesh.K.M .</t>
  </si>
  <si>
    <t xml:space="preserve">12.05.2014</t>
  </si>
  <si>
    <t xml:space="preserve">Sunil Kumar E.V.</t>
  </si>
  <si>
    <t xml:space="preserve">01.05.2014</t>
  </si>
  <si>
    <t xml:space="preserve">Manmadhan Pillai N.C </t>
  </si>
  <si>
    <t xml:space="preserve">30.06.2014</t>
  </si>
  <si>
    <t xml:space="preserve">Vinod T.N.</t>
  </si>
  <si>
    <t xml:space="preserve">Delivery Boy </t>
  </si>
  <si>
    <t xml:space="preserve">10.11.2014</t>
  </si>
  <si>
    <t xml:space="preserve">Shoukathali .A </t>
  </si>
  <si>
    <t xml:space="preserve">16.12.2014</t>
  </si>
  <si>
    <t xml:space="preserve">Abdul Nazar. K </t>
  </si>
  <si>
    <t xml:space="preserve">25.05.2015</t>
  </si>
  <si>
    <t xml:space="preserve">Jijesh .R </t>
  </si>
  <si>
    <t xml:space="preserve">Delivery Boy, Ottapalam </t>
  </si>
  <si>
    <t xml:space="preserve">19.10.2015</t>
  </si>
  <si>
    <t xml:space="preserve">Nithin Thomas</t>
  </si>
  <si>
    <t xml:space="preserve">Assistant - Accounts </t>
  </si>
  <si>
    <t xml:space="preserve">13.05.2016</t>
  </si>
  <si>
    <t xml:space="preserve">Murukesh .K.D </t>
  </si>
  <si>
    <t xml:space="preserve">08.11.2016</t>
  </si>
  <si>
    <t xml:space="preserve">Vishnu Gopakumar</t>
  </si>
  <si>
    <t xml:space="preserve">19.10.2016</t>
  </si>
  <si>
    <t xml:space="preserve">Shijio Varghese</t>
  </si>
  <si>
    <t xml:space="preserve">Assistant- Accounts</t>
  </si>
  <si>
    <t xml:space="preserve">03.07.2017</t>
  </si>
  <si>
    <t xml:space="preserve">Manu.M</t>
  </si>
  <si>
    <t xml:space="preserve">12.07.2017</t>
  </si>
  <si>
    <t xml:space="preserve">Athul Kumar.K.R</t>
  </si>
  <si>
    <t xml:space="preserve">Assistant- Accountant</t>
  </si>
  <si>
    <t xml:space="preserve">16.08.2017</t>
  </si>
  <si>
    <t xml:space="preserve">David.A.Ollukaran</t>
  </si>
  <si>
    <t xml:space="preserve">07.03.2017</t>
  </si>
  <si>
    <t xml:space="preserve">Santhosh Kumar.B</t>
  </si>
  <si>
    <t xml:space="preserve">05.03.2018</t>
  </si>
  <si>
    <t xml:space="preserve">Kollam</t>
  </si>
  <si>
    <t xml:space="preserve">Manu Thomas </t>
  </si>
  <si>
    <t xml:space="preserve">Executive - Logistics </t>
  </si>
  <si>
    <t xml:space="preserve">14.11.2016</t>
  </si>
  <si>
    <t xml:space="preserve">Logistics</t>
  </si>
  <si>
    <t xml:space="preserve">Bangalore</t>
  </si>
  <si>
    <t xml:space="preserve">HOSUR </t>
  </si>
  <si>
    <t xml:space="preserve">Hariharan.S </t>
  </si>
  <si>
    <t xml:space="preserve">25.03.2013</t>
  </si>
  <si>
    <t xml:space="preserve">Saiprasanna .R </t>
  </si>
  <si>
    <t xml:space="preserve">23.03.2016</t>
  </si>
  <si>
    <t xml:space="preserve">chennai</t>
  </si>
  <si>
    <t xml:space="preserve">Francis P</t>
  </si>
  <si>
    <t xml:space="preserve">Executive - Accounts</t>
  </si>
  <si>
    <t xml:space="preserve">30.11.2016</t>
  </si>
  <si>
    <t xml:space="preserve">Accounts</t>
  </si>
  <si>
    <t xml:space="preserve">Ravikumar.R.S</t>
  </si>
  <si>
    <t xml:space="preserve">Jr.Executive-Logistics</t>
  </si>
  <si>
    <t xml:space="preserve">12.06.2017</t>
  </si>
  <si>
    <t xml:space="preserve">R.Rajkumar</t>
  </si>
  <si>
    <t xml:space="preserve">Executive-Logistics</t>
  </si>
  <si>
    <t xml:space="preserve">03.11.2017</t>
  </si>
  <si>
    <t xml:space="preserve">Renjith.P.V</t>
  </si>
  <si>
    <t xml:space="preserve">Executive-Accounts</t>
  </si>
  <si>
    <t xml:space="preserve">Rajin A R</t>
  </si>
  <si>
    <t xml:space="preserve">Executive -Accounts</t>
  </si>
  <si>
    <t xml:space="preserve">01.06.2016</t>
  </si>
  <si>
    <t xml:space="preserve">Ajith.A</t>
  </si>
  <si>
    <t xml:space="preserve">Assistant-Accounts</t>
  </si>
  <si>
    <t xml:space="preserve">02.02.2018</t>
  </si>
  <si>
    <t xml:space="preserve">Sudhan K</t>
  </si>
  <si>
    <t xml:space="preserve">Executive-MIS</t>
  </si>
  <si>
    <t xml:space="preserve">23.08.2016</t>
  </si>
  <si>
    <t xml:space="preserve">Rathees Mon.K.M</t>
  </si>
  <si>
    <t xml:space="preserve">26.02.2018</t>
  </si>
  <si>
    <t xml:space="preserve">Alappuzha</t>
  </si>
  <si>
    <t xml:space="preserve">Mithun K.Nair </t>
  </si>
  <si>
    <t xml:space="preserve">23.06.2014</t>
  </si>
  <si>
    <t xml:space="preserve">Maneesh Anil Pandey</t>
  </si>
  <si>
    <t xml:space="preserve">Jr.Executive - Logistics</t>
  </si>
  <si>
    <t xml:space="preserve">24.10.2013</t>
  </si>
  <si>
    <t xml:space="preserve">24310</t>
  </si>
  <si>
    <t xml:space="preserve">C G Prathibasmidan</t>
  </si>
  <si>
    <t xml:space="preserve">Director - Corporate</t>
  </si>
  <si>
    <t xml:space="preserve">07.06.1989</t>
  </si>
  <si>
    <t xml:space="preserve">E3</t>
  </si>
  <si>
    <t xml:space="preserve">Board Member</t>
  </si>
  <si>
    <t xml:space="preserve">Kb Shibu</t>
  </si>
  <si>
    <t xml:space="preserve">Deputy Manager</t>
  </si>
  <si>
    <t xml:space="preserve">01.07.1991</t>
  </si>
  <si>
    <t xml:space="preserve">Finance&amp;Accounts</t>
  </si>
  <si>
    <t xml:space="preserve">Kuttanellur</t>
  </si>
  <si>
    <t xml:space="preserve">T S Somanathan</t>
  </si>
  <si>
    <t xml:space="preserve">15.07.1991</t>
  </si>
  <si>
    <t xml:space="preserve">Materials</t>
  </si>
  <si>
    <t xml:space="preserve">Materials &amp; Despatch</t>
  </si>
  <si>
    <t xml:space="preserve">Pp Prameela</t>
  </si>
  <si>
    <t xml:space="preserve">18.02.1991</t>
  </si>
  <si>
    <t xml:space="preserve">HR</t>
  </si>
  <si>
    <t xml:space="preserve">HR/Admin </t>
  </si>
  <si>
    <t xml:space="preserve">P Suresh</t>
  </si>
  <si>
    <t xml:space="preserve">Sr. Executive </t>
  </si>
  <si>
    <t xml:space="preserve">01.09.1993</t>
  </si>
  <si>
    <t xml:space="preserve">Sujith Kumar M</t>
  </si>
  <si>
    <t xml:space="preserve">Vertical Head </t>
  </si>
  <si>
    <t xml:space="preserve">02.01.1995</t>
  </si>
  <si>
    <t xml:space="preserve">SM2</t>
  </si>
  <si>
    <t xml:space="preserve">Production</t>
  </si>
  <si>
    <t xml:space="preserve">Production /EHS</t>
  </si>
  <si>
    <t xml:space="preserve">P Rajeevan</t>
  </si>
  <si>
    <t xml:space="preserve">Sr. Executive</t>
  </si>
  <si>
    <t xml:space="preserve">02.09.1995</t>
  </si>
  <si>
    <t xml:space="preserve">M Meenakshy</t>
  </si>
  <si>
    <t xml:space="preserve">Assistant Manager</t>
  </si>
  <si>
    <t xml:space="preserve">01.10.1997</t>
  </si>
  <si>
    <t xml:space="preserve">FSQA</t>
  </si>
  <si>
    <t xml:space="preserve">Food Safety Quality/ R &amp;D</t>
  </si>
  <si>
    <t xml:space="preserve">K V Satheesh</t>
  </si>
  <si>
    <t xml:space="preserve">Logistics </t>
  </si>
  <si>
    <t xml:space="preserve">Haridas V.S.</t>
  </si>
  <si>
    <t xml:space="preserve">Factory Manager</t>
  </si>
  <si>
    <t xml:space="preserve">P A Ajitha </t>
  </si>
  <si>
    <t xml:space="preserve">Manager </t>
  </si>
  <si>
    <t xml:space="preserve">01.12.1998</t>
  </si>
  <si>
    <t xml:space="preserve">Anitha Ravindran</t>
  </si>
  <si>
    <t xml:space="preserve">03.12.1998</t>
  </si>
  <si>
    <t xml:space="preserve">Suresh Menon Vg</t>
  </si>
  <si>
    <t xml:space="preserve">Deputy Manager </t>
  </si>
  <si>
    <t xml:space="preserve">01.10.1998</t>
  </si>
  <si>
    <t xml:space="preserve">Maintenance</t>
  </si>
  <si>
    <t xml:space="preserve">Eng/ Maintenance / Projects</t>
  </si>
  <si>
    <t xml:space="preserve">Ramesh Kumar M</t>
  </si>
  <si>
    <t xml:space="preserve">01.08.2000</t>
  </si>
  <si>
    <t xml:space="preserve">Engineering</t>
  </si>
  <si>
    <t xml:space="preserve">YMD</t>
  </si>
  <si>
    <t xml:space="preserve">Abi Malak</t>
  </si>
  <si>
    <t xml:space="preserve">Jr. Executive</t>
  </si>
  <si>
    <t xml:space="preserve">22.08.2005</t>
  </si>
  <si>
    <t xml:space="preserve">Gini Joseph </t>
  </si>
  <si>
    <t xml:space="preserve">01.01.2002</t>
  </si>
  <si>
    <t xml:space="preserve">Sindhu K K</t>
  </si>
  <si>
    <t xml:space="preserve"> Sr.Executive </t>
  </si>
  <si>
    <t xml:space="preserve">Pradeep Mm</t>
  </si>
  <si>
    <t xml:space="preserve">Jr.Executive</t>
  </si>
  <si>
    <t xml:space="preserve">01.06.2006</t>
  </si>
  <si>
    <t xml:space="preserve">Jaya P S</t>
  </si>
  <si>
    <t xml:space="preserve">16.08.2006</t>
  </si>
  <si>
    <t xml:space="preserve">Mahesh K</t>
  </si>
  <si>
    <t xml:space="preserve">01.08.2006</t>
  </si>
  <si>
    <t xml:space="preserve">Pp Suresh</t>
  </si>
  <si>
    <t xml:space="preserve">07.09.2006</t>
  </si>
  <si>
    <t xml:space="preserve">Credit Control</t>
  </si>
  <si>
    <t xml:space="preserve">Ranjith N.R</t>
  </si>
  <si>
    <t xml:space="preserve">Executive</t>
  </si>
  <si>
    <t xml:space="preserve">01.01.2007</t>
  </si>
  <si>
    <t xml:space="preserve">Stores</t>
  </si>
  <si>
    <t xml:space="preserve">Nandakumar V</t>
  </si>
  <si>
    <t xml:space="preserve">02.05.2007</t>
  </si>
  <si>
    <t xml:space="preserve">Sharad D Mundappat</t>
  </si>
  <si>
    <t xml:space="preserve">05.02.2007</t>
  </si>
  <si>
    <t xml:space="preserve">HR </t>
  </si>
  <si>
    <t xml:space="preserve">Sandesh Pb</t>
  </si>
  <si>
    <t xml:space="preserve">01.09.2007</t>
  </si>
  <si>
    <t xml:space="preserve">Dinesh A C</t>
  </si>
  <si>
    <t xml:space="preserve">Senior Assistant </t>
  </si>
  <si>
    <t xml:space="preserve">01.10.2007</t>
  </si>
  <si>
    <t xml:space="preserve">Jithesh M</t>
  </si>
  <si>
    <t xml:space="preserve">Asst.Manager</t>
  </si>
  <si>
    <t xml:space="preserve">Deva Panicker</t>
  </si>
  <si>
    <t xml:space="preserve">Assistant General Manager</t>
  </si>
  <si>
    <t xml:space="preserve">16.2.1990</t>
  </si>
  <si>
    <t xml:space="preserve">NPD &amp; QA</t>
  </si>
  <si>
    <t xml:space="preserve">Sujith K B</t>
  </si>
  <si>
    <t xml:space="preserve"> Sr. Manager</t>
  </si>
  <si>
    <t xml:space="preserve">1.11.1994</t>
  </si>
  <si>
    <t xml:space="preserve">Jayasankar</t>
  </si>
  <si>
    <t xml:space="preserve">Manager</t>
  </si>
  <si>
    <t xml:space="preserve">16.07.1990</t>
  </si>
  <si>
    <t xml:space="preserve">Jacob Pp</t>
  </si>
  <si>
    <t xml:space="preserve">01.01.1988</t>
  </si>
  <si>
    <t xml:space="preserve">Lalan K T</t>
  </si>
  <si>
    <t xml:space="preserve">01.03.1988</t>
  </si>
  <si>
    <t xml:space="preserve">George Jessil E J</t>
  </si>
  <si>
    <t xml:space="preserve">01.12.1987</t>
  </si>
  <si>
    <t xml:space="preserve">Udayakumar.P.K</t>
  </si>
  <si>
    <t xml:space="preserve">Mini P</t>
  </si>
  <si>
    <t xml:space="preserve">Assitant Manager</t>
  </si>
  <si>
    <t xml:space="preserve">Chandrakanth Naik</t>
  </si>
  <si>
    <t xml:space="preserve">1.12.1987</t>
  </si>
  <si>
    <t xml:space="preserve">EDP</t>
  </si>
  <si>
    <t xml:space="preserve">IT </t>
  </si>
  <si>
    <t xml:space="preserve">Soman C R</t>
  </si>
  <si>
    <t xml:space="preserve">1.10.2000</t>
  </si>
  <si>
    <t xml:space="preserve">Sreejith Ks</t>
  </si>
  <si>
    <t xml:space="preserve">8.3.2004</t>
  </si>
  <si>
    <t xml:space="preserve">Purchase</t>
  </si>
  <si>
    <t xml:space="preserve">Thankachan P K</t>
  </si>
  <si>
    <t xml:space="preserve">2.4.1997</t>
  </si>
  <si>
    <t xml:space="preserve">Biju T G</t>
  </si>
  <si>
    <t xml:space="preserve">04.07.2005</t>
  </si>
  <si>
    <t xml:space="preserve">Aluva</t>
  </si>
  <si>
    <t xml:space="preserve">Subramanian P K</t>
  </si>
  <si>
    <t xml:space="preserve">Sr. Supervisor </t>
  </si>
  <si>
    <t xml:space="preserve">01.01.1989</t>
  </si>
  <si>
    <t xml:space="preserve">Mohanan K R</t>
  </si>
  <si>
    <t xml:space="preserve">Supervisor </t>
  </si>
  <si>
    <t xml:space="preserve">Subash K D</t>
  </si>
  <si>
    <t xml:space="preserve">Supervisor</t>
  </si>
  <si>
    <t xml:space="preserve">01.12.1989</t>
  </si>
  <si>
    <t xml:space="preserve">Sajeev M S</t>
  </si>
  <si>
    <t xml:space="preserve">Dy. Manager</t>
  </si>
  <si>
    <t xml:space="preserve">05.06.1994</t>
  </si>
  <si>
    <t xml:space="preserve">Joji Joseph K</t>
  </si>
  <si>
    <t xml:space="preserve">5.7.1994</t>
  </si>
  <si>
    <t xml:space="preserve">Selvaraj V G</t>
  </si>
  <si>
    <t xml:space="preserve">Deputy Manager.</t>
  </si>
  <si>
    <t xml:space="preserve">05.05.2003</t>
  </si>
  <si>
    <t xml:space="preserve">NPD</t>
  </si>
  <si>
    <t xml:space="preserve">Shiny Jiji</t>
  </si>
  <si>
    <t xml:space="preserve">Vertical Head</t>
  </si>
  <si>
    <t xml:space="preserve">16.9.2002</t>
  </si>
  <si>
    <t xml:space="preserve">Manoj Kumar I S</t>
  </si>
  <si>
    <t xml:space="preserve">Sr.Executive.</t>
  </si>
  <si>
    <t xml:space="preserve">05.09.2005</t>
  </si>
  <si>
    <t xml:space="preserve">Viswambaran</t>
  </si>
  <si>
    <t xml:space="preserve">Sr. Supervisor</t>
  </si>
  <si>
    <t xml:space="preserve">03.06.1992</t>
  </si>
  <si>
    <t xml:space="preserve">Martin K.V</t>
  </si>
  <si>
    <t xml:space="preserve">Manoj P K</t>
  </si>
  <si>
    <t xml:space="preserve">05.06.1995</t>
  </si>
  <si>
    <t xml:space="preserve">V Sobha</t>
  </si>
  <si>
    <t xml:space="preserve">01.08.2003</t>
  </si>
  <si>
    <t xml:space="preserve">IT</t>
  </si>
  <si>
    <t xml:space="preserve">Manoj S</t>
  </si>
  <si>
    <t xml:space="preserve">18.12.2002</t>
  </si>
  <si>
    <t xml:space="preserve">Suresh T G</t>
  </si>
  <si>
    <t xml:space="preserve">01.11.2006</t>
  </si>
  <si>
    <t xml:space="preserve">Suresh P N</t>
  </si>
  <si>
    <t xml:space="preserve">03.09.1997</t>
  </si>
  <si>
    <t xml:space="preserve">Manoj Kumar Er</t>
  </si>
  <si>
    <t xml:space="preserve">01.06.1997</t>
  </si>
  <si>
    <t xml:space="preserve">Santhosh Kumar Nair</t>
  </si>
  <si>
    <t xml:space="preserve">01.01.1999</t>
  </si>
  <si>
    <t xml:space="preserve">Vijaya Prem</t>
  </si>
  <si>
    <t xml:space="preserve">02.05.2005</t>
  </si>
  <si>
    <t xml:space="preserve">Finance</t>
  </si>
  <si>
    <t xml:space="preserve">Binu Pt</t>
  </si>
  <si>
    <t xml:space="preserve">22.04.2005</t>
  </si>
  <si>
    <t xml:space="preserve">Shyji T V</t>
  </si>
  <si>
    <t xml:space="preserve">15.05.2006</t>
  </si>
  <si>
    <t xml:space="preserve">Ambily Ka</t>
  </si>
  <si>
    <t xml:space="preserve">Jr. Executive </t>
  </si>
  <si>
    <t xml:space="preserve">10.04.2007</t>
  </si>
  <si>
    <t xml:space="preserve">Premalatha V</t>
  </si>
  <si>
    <t xml:space="preserve">Asst.Manager </t>
  </si>
  <si>
    <t xml:space="preserve">10.11.2003</t>
  </si>
  <si>
    <t xml:space="preserve">Anju Ratheesh</t>
  </si>
  <si>
    <t xml:space="preserve">01.07.2004</t>
  </si>
  <si>
    <t xml:space="preserve">Rasobh.A.R</t>
  </si>
  <si>
    <t xml:space="preserve">Unit In-Charge</t>
  </si>
  <si>
    <t xml:space="preserve">Joicy Jose</t>
  </si>
  <si>
    <t xml:space="preserve">Despatch</t>
  </si>
  <si>
    <t xml:space="preserve">Rekha.K.Menon</t>
  </si>
  <si>
    <t xml:space="preserve">01.06.2007</t>
  </si>
  <si>
    <t xml:space="preserve">Sandhya.R</t>
  </si>
  <si>
    <t xml:space="preserve">01.12.2007</t>
  </si>
  <si>
    <t xml:space="preserve">Joby C James</t>
  </si>
  <si>
    <t xml:space="preserve">24.07.2007</t>
  </si>
  <si>
    <t xml:space="preserve">Vincent Tp</t>
  </si>
  <si>
    <t xml:space="preserve">Assistant General Manager </t>
  </si>
  <si>
    <t xml:space="preserve">08.10.2007</t>
  </si>
  <si>
    <t xml:space="preserve">Prameela Vs</t>
  </si>
  <si>
    <t xml:space="preserve">17.10.2007</t>
  </si>
  <si>
    <t xml:space="preserve">Sajan S</t>
  </si>
  <si>
    <t xml:space="preserve">01.11.2007</t>
  </si>
  <si>
    <t xml:space="preserve">Jayaprakash K</t>
  </si>
  <si>
    <t xml:space="preserve">09.07.2007</t>
  </si>
  <si>
    <t xml:space="preserve">Rajesh U</t>
  </si>
  <si>
    <t xml:space="preserve">02.07.2007</t>
  </si>
  <si>
    <t xml:space="preserve">Rejini.M</t>
  </si>
  <si>
    <t xml:space="preserve">Satheesh.P</t>
  </si>
  <si>
    <t xml:space="preserve">Marketing</t>
  </si>
  <si>
    <t xml:space="preserve">Marketing </t>
  </si>
  <si>
    <t xml:space="preserve">Sajana Sahadevan P</t>
  </si>
  <si>
    <t xml:space="preserve">Nikhila K B</t>
  </si>
  <si>
    <t xml:space="preserve">Nitya Jayaraman.V</t>
  </si>
  <si>
    <t xml:space="preserve">Bindu N</t>
  </si>
  <si>
    <t xml:space="preserve">Krishnakumar E</t>
  </si>
  <si>
    <t xml:space="preserve">26.03.2008</t>
  </si>
  <si>
    <t xml:space="preserve">Saju P</t>
  </si>
  <si>
    <t xml:space="preserve">07.04.2008</t>
  </si>
  <si>
    <t xml:space="preserve">Prakash O.P.</t>
  </si>
  <si>
    <t xml:space="preserve">Assistant Stores</t>
  </si>
  <si>
    <t xml:space="preserve">01.05.2009</t>
  </si>
  <si>
    <t xml:space="preserve">Antony Lawrence </t>
  </si>
  <si>
    <t xml:space="preserve">02.07.2008</t>
  </si>
  <si>
    <t xml:space="preserve">Krishnaprabha Cg</t>
  </si>
  <si>
    <t xml:space="preserve">01.02.2008</t>
  </si>
  <si>
    <t xml:space="preserve">Santhosh V</t>
  </si>
  <si>
    <t xml:space="preserve">15.09.2008</t>
  </si>
  <si>
    <t xml:space="preserve">Sameer N K</t>
  </si>
  <si>
    <t xml:space="preserve">15.9.2008</t>
  </si>
  <si>
    <t xml:space="preserve">Merin Sijo</t>
  </si>
  <si>
    <t xml:space="preserve">CRM</t>
  </si>
  <si>
    <t xml:space="preserve">Anishya </t>
  </si>
  <si>
    <t xml:space="preserve">25.2.2013</t>
  </si>
  <si>
    <t xml:space="preserve">Sini Ramachandran</t>
  </si>
  <si>
    <t xml:space="preserve">01.06.2009</t>
  </si>
  <si>
    <t xml:space="preserve">Babu P.T.</t>
  </si>
  <si>
    <t xml:space="preserve">SENIOR FABRICATOR</t>
  </si>
  <si>
    <t xml:space="preserve">10.12.2008</t>
  </si>
  <si>
    <t xml:space="preserve">Febin T I</t>
  </si>
  <si>
    <t xml:space="preserve">Lisha Jose</t>
  </si>
  <si>
    <t xml:space="preserve">Jomy Joseph</t>
  </si>
  <si>
    <t xml:space="preserve">01.03.2009</t>
  </si>
  <si>
    <t xml:space="preserve">Sumesh Cs</t>
  </si>
  <si>
    <t xml:space="preserve">01.11.2009</t>
  </si>
  <si>
    <t xml:space="preserve">Anand Sadanandan K</t>
  </si>
  <si>
    <t xml:space="preserve">Jos Fabin Gomes</t>
  </si>
  <si>
    <t xml:space="preserve">01.09.2008</t>
  </si>
  <si>
    <t xml:space="preserve">Bindu Anilkumar</t>
  </si>
  <si>
    <t xml:space="preserve">Sr.Executive</t>
  </si>
  <si>
    <t xml:space="preserve">Shiju P.C.</t>
  </si>
  <si>
    <t xml:space="preserve">FITTER</t>
  </si>
  <si>
    <t xml:space="preserve">09.09.2009</t>
  </si>
  <si>
    <t xml:space="preserve">Vivek  P J</t>
  </si>
  <si>
    <t xml:space="preserve">Unit incharge</t>
  </si>
  <si>
    <t xml:space="preserve">01.05.2010</t>
  </si>
  <si>
    <t xml:space="preserve">Pinku.P.J</t>
  </si>
  <si>
    <t xml:space="preserve">01.03.2010</t>
  </si>
  <si>
    <t xml:space="preserve">Sathish T K</t>
  </si>
  <si>
    <t xml:space="preserve"> Executive </t>
  </si>
  <si>
    <t xml:space="preserve">16.09.2009</t>
  </si>
  <si>
    <t xml:space="preserve">Dany Joseph</t>
  </si>
  <si>
    <t xml:space="preserve">1.1.2009</t>
  </si>
  <si>
    <t xml:space="preserve">Anoop Kumar P</t>
  </si>
  <si>
    <t xml:space="preserve">06.11.2009</t>
  </si>
  <si>
    <t xml:space="preserve">Jyothi Sadanandan</t>
  </si>
  <si>
    <t xml:space="preserve">General Assistant</t>
  </si>
  <si>
    <t xml:space="preserve">01.01.2011</t>
  </si>
  <si>
    <t xml:space="preserve">Administration</t>
  </si>
  <si>
    <t xml:space="preserve">Nisha A</t>
  </si>
  <si>
    <t xml:space="preserve">15.01.2010</t>
  </si>
  <si>
    <t xml:space="preserve">Syama K G</t>
  </si>
  <si>
    <t xml:space="preserve">Vigeesh Av</t>
  </si>
  <si>
    <t xml:space="preserve">Ratnakumar Kk</t>
  </si>
  <si>
    <t xml:space="preserve">02.03.2010</t>
  </si>
  <si>
    <t xml:space="preserve">Baiju.K</t>
  </si>
  <si>
    <t xml:space="preserve">Sr.Supervisor</t>
  </si>
  <si>
    <t xml:space="preserve">Smija Suresh</t>
  </si>
  <si>
    <t xml:space="preserve">27.11.2009</t>
  </si>
  <si>
    <t xml:space="preserve">Jaimon K R</t>
  </si>
  <si>
    <t xml:space="preserve">2.03.2010</t>
  </si>
  <si>
    <t xml:space="preserve">Rekha Gangadharan</t>
  </si>
  <si>
    <t xml:space="preserve">MIS/Treasury/Costing</t>
  </si>
  <si>
    <t xml:space="preserve">Costing and Profitability Management</t>
  </si>
  <si>
    <t xml:space="preserve">P.J. Alexander</t>
  </si>
  <si>
    <t xml:space="preserve">19.04.2010</t>
  </si>
  <si>
    <t xml:space="preserve">Sreejith Sathish</t>
  </si>
  <si>
    <t xml:space="preserve">Graphic Designer</t>
  </si>
  <si>
    <t xml:space="preserve">Ramesh Krishnan</t>
  </si>
  <si>
    <t xml:space="preserve">03.06.2010</t>
  </si>
  <si>
    <t xml:space="preserve">Saroop M K</t>
  </si>
  <si>
    <t xml:space="preserve">Assistant</t>
  </si>
  <si>
    <t xml:space="preserve">01.12.2010</t>
  </si>
  <si>
    <t xml:space="preserve">Prasanth B</t>
  </si>
  <si>
    <t xml:space="preserve">21.06.2010</t>
  </si>
  <si>
    <t xml:space="preserve">Rema Devy</t>
  </si>
  <si>
    <t xml:space="preserve">01.07.2010</t>
  </si>
  <si>
    <t xml:space="preserve">Nidhun Radhakrishnan</t>
  </si>
  <si>
    <t xml:space="preserve">06.07.2010</t>
  </si>
  <si>
    <t xml:space="preserve">Costing </t>
  </si>
  <si>
    <t xml:space="preserve">Anithakumari C.G.</t>
  </si>
  <si>
    <t xml:space="preserve">SWEEPER</t>
  </si>
  <si>
    <t xml:space="preserve">Dinu Davis </t>
  </si>
  <si>
    <t xml:space="preserve">Bindhu Shyam</t>
  </si>
  <si>
    <t xml:space="preserve">21.7.2010</t>
  </si>
  <si>
    <t xml:space="preserve">Legal</t>
  </si>
  <si>
    <t xml:space="preserve">Rahul P</t>
  </si>
  <si>
    <t xml:space="preserve">Anilkumar E.K</t>
  </si>
  <si>
    <t xml:space="preserve">Saritha Pradeep</t>
  </si>
  <si>
    <t xml:space="preserve">09.08.2010</t>
  </si>
  <si>
    <t xml:space="preserve">Radhakrishnan K S</t>
  </si>
  <si>
    <t xml:space="preserve">Security</t>
  </si>
  <si>
    <t xml:space="preserve">Security </t>
  </si>
  <si>
    <t xml:space="preserve">Paul Dn</t>
  </si>
  <si>
    <t xml:space="preserve">Head -Manufacturing</t>
  </si>
  <si>
    <t xml:space="preserve">18.10.2010</t>
  </si>
  <si>
    <t xml:space="preserve">E2</t>
  </si>
  <si>
    <t xml:space="preserve">Sunil Kumar V</t>
  </si>
  <si>
    <t xml:space="preserve">01.11.2010</t>
  </si>
  <si>
    <t xml:space="preserve">Sheena Sankaranarayanan</t>
  </si>
  <si>
    <t xml:space="preserve">15.12.2010</t>
  </si>
  <si>
    <t xml:space="preserve">Vigil Mv</t>
  </si>
  <si>
    <t xml:space="preserve">Shiji Manikandan</t>
  </si>
  <si>
    <t xml:space="preserve">Aneesh Kv</t>
  </si>
  <si>
    <t xml:space="preserve">22.02.2011</t>
  </si>
  <si>
    <t xml:space="preserve">Internal Audit</t>
  </si>
  <si>
    <t xml:space="preserve">Ragesh M.R.</t>
  </si>
  <si>
    <t xml:space="preserve">26.02.2011</t>
  </si>
  <si>
    <t xml:space="preserve">Dhanya.K.P</t>
  </si>
  <si>
    <t xml:space="preserve">01.03.2011</t>
  </si>
  <si>
    <t xml:space="preserve">Manu R</t>
  </si>
  <si>
    <t xml:space="preserve">04.03.2011</t>
  </si>
  <si>
    <t xml:space="preserve">Jins John</t>
  </si>
  <si>
    <t xml:space="preserve">01.10.2011</t>
  </si>
  <si>
    <t xml:space="preserve">Chanthu K T</t>
  </si>
  <si>
    <t xml:space="preserve">14.3.2011</t>
  </si>
  <si>
    <t xml:space="preserve">Manju Rajendran</t>
  </si>
  <si>
    <t xml:space="preserve">21.03.2011</t>
  </si>
  <si>
    <t xml:space="preserve">Vijai Kumar Tiwari</t>
  </si>
  <si>
    <t xml:space="preserve">Madi operation</t>
  </si>
  <si>
    <t xml:space="preserve">Ujjain</t>
  </si>
  <si>
    <t xml:space="preserve">Ninusha Pradeep</t>
  </si>
  <si>
    <t xml:space="preserve">Subhash Chandra Mishra</t>
  </si>
  <si>
    <t xml:space="preserve">Rajeev V S</t>
  </si>
  <si>
    <t xml:space="preserve">25.04.2011</t>
  </si>
  <si>
    <t xml:space="preserve">Vineesha.V.V</t>
  </si>
  <si>
    <t xml:space="preserve">12.05.2011</t>
  </si>
  <si>
    <t xml:space="preserve">01.06.2011</t>
  </si>
  <si>
    <t xml:space="preserve">Export Coordination</t>
  </si>
  <si>
    <t xml:space="preserve"> Export/ Organic</t>
  </si>
  <si>
    <t xml:space="preserve">Sujeesh Babu</t>
  </si>
  <si>
    <t xml:space="preserve">Viji.V</t>
  </si>
  <si>
    <t xml:space="preserve">22.6.2011</t>
  </si>
  <si>
    <t xml:space="preserve">Parvathy K.S</t>
  </si>
  <si>
    <t xml:space="preserve">Sunitha Suresh</t>
  </si>
  <si>
    <t xml:space="preserve">Executive - Secretary</t>
  </si>
  <si>
    <t xml:space="preserve">01.08.2011</t>
  </si>
  <si>
    <t xml:space="preserve">Viswanathan K.K </t>
  </si>
  <si>
    <t xml:space="preserve">Bindu Anil</t>
  </si>
  <si>
    <t xml:space="preserve">Girija Manoj</t>
  </si>
  <si>
    <t xml:space="preserve">01.07.2012</t>
  </si>
  <si>
    <t xml:space="preserve">Jithin Raj</t>
  </si>
  <si>
    <t xml:space="preserve">Johny Jose</t>
  </si>
  <si>
    <t xml:space="preserve">Prasanth K.P.</t>
  </si>
  <si>
    <t xml:space="preserve">10.08.2011</t>
  </si>
  <si>
    <t xml:space="preserve">Anil Kumar M R</t>
  </si>
  <si>
    <t xml:space="preserve">05.10.2011</t>
  </si>
  <si>
    <t xml:space="preserve">Ramesh K.S.</t>
  </si>
  <si>
    <t xml:space="preserve">12.12.2011</t>
  </si>
  <si>
    <t xml:space="preserve">Vineetha M.V</t>
  </si>
  <si>
    <t xml:space="preserve">Payments</t>
  </si>
  <si>
    <t xml:space="preserve">E.K. Ravi</t>
  </si>
  <si>
    <t xml:space="preserve">WELDER  </t>
  </si>
  <si>
    <t xml:space="preserve">07.01.2012</t>
  </si>
  <si>
    <t xml:space="preserve">Sreejith .K </t>
  </si>
  <si>
    <t xml:space="preserve">Santhosh C Jose</t>
  </si>
  <si>
    <t xml:space="preserve">Sr. Manager </t>
  </si>
  <si>
    <t xml:space="preserve">02.01.12</t>
  </si>
  <si>
    <t xml:space="preserve">Projects &amp; EHS</t>
  </si>
  <si>
    <t xml:space="preserve">Gopikumar A.K.</t>
  </si>
  <si>
    <t xml:space="preserve">21.02.2012</t>
  </si>
  <si>
    <t xml:space="preserve">Karthikeyan M.P.</t>
  </si>
  <si>
    <t xml:space="preserve">Vineesh K.R </t>
  </si>
  <si>
    <t xml:space="preserve">Prajeeraj.C</t>
  </si>
  <si>
    <t xml:space="preserve">Lini T.K.                            </t>
  </si>
  <si>
    <t xml:space="preserve">12.04.2012</t>
  </si>
  <si>
    <t xml:space="preserve">Sudheesh M.S.</t>
  </si>
  <si>
    <t xml:space="preserve">01.11.2012</t>
  </si>
  <si>
    <t xml:space="preserve">Hygiene</t>
  </si>
  <si>
    <t xml:space="preserve">Limson A T</t>
  </si>
  <si>
    <t xml:space="preserve">Fitter </t>
  </si>
  <si>
    <t xml:space="preserve">Shijeesh P.M</t>
  </si>
  <si>
    <t xml:space="preserve">11.06.2012</t>
  </si>
  <si>
    <t xml:space="preserve">Byju Peter</t>
  </si>
  <si>
    <t xml:space="preserve"> Sr.Supervisor</t>
  </si>
  <si>
    <t xml:space="preserve">Sivarajan A.A.</t>
  </si>
  <si>
    <t xml:space="preserve">ELECTRICIAN</t>
  </si>
  <si>
    <t xml:space="preserve">25.06.2012</t>
  </si>
  <si>
    <t xml:space="preserve">Pushkaran</t>
  </si>
  <si>
    <t xml:space="preserve">02.07.2012</t>
  </si>
  <si>
    <t xml:space="preserve">Sandeep P S</t>
  </si>
  <si>
    <t xml:space="preserve">01.01.2013</t>
  </si>
  <si>
    <t xml:space="preserve">Remani K.N</t>
  </si>
  <si>
    <t xml:space="preserve">23.07.2012</t>
  </si>
  <si>
    <t xml:space="preserve">Deepthy V.S</t>
  </si>
  <si>
    <t xml:space="preserve">01.09.2012</t>
  </si>
  <si>
    <t xml:space="preserve">Shajimon K.P</t>
  </si>
  <si>
    <t xml:space="preserve">Sujatha Venugopal</t>
  </si>
  <si>
    <t xml:space="preserve">04.10.2012</t>
  </si>
  <si>
    <t xml:space="preserve">Aashid M K</t>
  </si>
  <si>
    <t xml:space="preserve">Vineeth Nalanakshan</t>
  </si>
  <si>
    <t xml:space="preserve">22.10.2012</t>
  </si>
  <si>
    <t xml:space="preserve">Ramakrishnan C</t>
  </si>
  <si>
    <t xml:space="preserve">16.11.2012</t>
  </si>
  <si>
    <t xml:space="preserve">Vijith Thaikattil</t>
  </si>
  <si>
    <t xml:space="preserve">01.05.2013</t>
  </si>
  <si>
    <t xml:space="preserve">Sudheesh M.K</t>
  </si>
  <si>
    <t xml:space="preserve">11.5.2012</t>
  </si>
  <si>
    <t xml:space="preserve">Manoj P.M</t>
  </si>
  <si>
    <t xml:space="preserve">05.12.2012</t>
  </si>
  <si>
    <t xml:space="preserve">Simi P.V </t>
  </si>
  <si>
    <t xml:space="preserve">07.02.2013</t>
  </si>
  <si>
    <t xml:space="preserve">Dhaneesh Davis Therattil</t>
  </si>
  <si>
    <t xml:space="preserve">Assistant Supervisor </t>
  </si>
  <si>
    <t xml:space="preserve">18.2.2013</t>
  </si>
  <si>
    <t xml:space="preserve">Arun.V </t>
  </si>
  <si>
    <t xml:space="preserve">Assistant Supervisor</t>
  </si>
  <si>
    <t xml:space="preserve">01.12.2013</t>
  </si>
  <si>
    <t xml:space="preserve">Rajesh.A </t>
  </si>
  <si>
    <t xml:space="preserve">Solgen,Kuttanellur</t>
  </si>
  <si>
    <t xml:space="preserve">Vipin Pious </t>
  </si>
  <si>
    <t xml:space="preserve">Jr.Executive </t>
  </si>
  <si>
    <t xml:space="preserve">18.03.2013</t>
  </si>
  <si>
    <t xml:space="preserve">Amal Suresh </t>
  </si>
  <si>
    <t xml:space="preserve">08.04.2013</t>
  </si>
  <si>
    <t xml:space="preserve">Baburajan K.P.</t>
  </si>
  <si>
    <t xml:space="preserve">FABRICATOR</t>
  </si>
  <si>
    <t xml:space="preserve">02.05.2013</t>
  </si>
  <si>
    <t xml:space="preserve">Sajita P.P</t>
  </si>
  <si>
    <t xml:space="preserve">13.5.2013</t>
  </si>
  <si>
    <t xml:space="preserve">Praveen Kumar.C</t>
  </si>
  <si>
    <t xml:space="preserve">23.5.2013</t>
  </si>
  <si>
    <t xml:space="preserve">Unmesh P.U</t>
  </si>
  <si>
    <t xml:space="preserve">Driver</t>
  </si>
  <si>
    <t xml:space="preserve">03.07.2013</t>
  </si>
  <si>
    <t xml:space="preserve">Anson Anto.C .</t>
  </si>
  <si>
    <t xml:space="preserve">Electrician</t>
  </si>
  <si>
    <t xml:space="preserve">Priya Ramesh</t>
  </si>
  <si>
    <t xml:space="preserve">Mukesh.U.</t>
  </si>
  <si>
    <t xml:space="preserve">Electrician </t>
  </si>
  <si>
    <t xml:space="preserve">01.04.2014</t>
  </si>
  <si>
    <t xml:space="preserve">Jeevanjith A.S </t>
  </si>
  <si>
    <t xml:space="preserve">Aneesh P R</t>
  </si>
  <si>
    <t xml:space="preserve">Muhammed Farooque Kj.M</t>
  </si>
  <si>
    <t xml:space="preserve">21.04.2008</t>
  </si>
  <si>
    <t xml:space="preserve">Thulasidas  P.S </t>
  </si>
  <si>
    <t xml:space="preserve">04.12.2013</t>
  </si>
  <si>
    <t xml:space="preserve">Shahid C.S </t>
  </si>
  <si>
    <t xml:space="preserve">11.12.2013</t>
  </si>
  <si>
    <t xml:space="preserve">Anil A.S</t>
  </si>
  <si>
    <t xml:space="preserve">06.01.2014</t>
  </si>
  <si>
    <t xml:space="preserve">Murugadasan V.D </t>
  </si>
  <si>
    <t xml:space="preserve">Jr.executive </t>
  </si>
  <si>
    <t xml:space="preserve">19.02.2014</t>
  </si>
  <si>
    <t xml:space="preserve">Vineeth K.V.</t>
  </si>
  <si>
    <t xml:space="preserve">07.03.2014</t>
  </si>
  <si>
    <t xml:space="preserve">Joyal Thomas</t>
  </si>
  <si>
    <t xml:space="preserve">Rajesh.P.V</t>
  </si>
  <si>
    <t xml:space="preserve">19.10.2011</t>
  </si>
  <si>
    <t xml:space="preserve">Salesh.C.Raveendran</t>
  </si>
  <si>
    <t xml:space="preserve">08.08.2011</t>
  </si>
  <si>
    <t xml:space="preserve">George Jayaraj</t>
  </si>
  <si>
    <t xml:space="preserve">Welfare</t>
  </si>
  <si>
    <t xml:space="preserve">Sreenith M.V</t>
  </si>
  <si>
    <t xml:space="preserve">Machine Operator</t>
  </si>
  <si>
    <t xml:space="preserve">Ahemmed Kabeer E.M.</t>
  </si>
  <si>
    <t xml:space="preserve">02.02.2012</t>
  </si>
  <si>
    <t xml:space="preserve">Anjana .K </t>
  </si>
  <si>
    <t xml:space="preserve">19.03.2014</t>
  </si>
  <si>
    <t xml:space="preserve">Anandakrishnan .S </t>
  </si>
  <si>
    <t xml:space="preserve">Senior Manager </t>
  </si>
  <si>
    <t xml:space="preserve">10.04.2014</t>
  </si>
  <si>
    <t xml:space="preserve"> Food Safety &amp; QA</t>
  </si>
  <si>
    <t xml:space="preserve">Antony K.G .</t>
  </si>
  <si>
    <t xml:space="preserve">13.05.2014</t>
  </si>
  <si>
    <t xml:space="preserve">Sajith M K</t>
  </si>
  <si>
    <t xml:space="preserve">Rangarajan .S </t>
  </si>
  <si>
    <t xml:space="preserve">Manikandan .B</t>
  </si>
  <si>
    <t xml:space="preserve">Sreekanth K.S </t>
  </si>
  <si>
    <t xml:space="preserve">  Sr.Assistant </t>
  </si>
  <si>
    <t xml:space="preserve">Harikrishnan P.S.</t>
  </si>
  <si>
    <t xml:space="preserve">Shylesh V P</t>
  </si>
  <si>
    <t xml:space="preserve">07.07.2014</t>
  </si>
  <si>
    <t xml:space="preserve">Vishnujith P.S.</t>
  </si>
  <si>
    <t xml:space="preserve">20.05.2008</t>
  </si>
  <si>
    <t xml:space="preserve">Arun K.S.</t>
  </si>
  <si>
    <t xml:space="preserve">22.08.2014</t>
  </si>
  <si>
    <t xml:space="preserve">Praveen Das</t>
  </si>
  <si>
    <t xml:space="preserve">9.09.2013</t>
  </si>
  <si>
    <t xml:space="preserve">Saji P.U. </t>
  </si>
  <si>
    <t xml:space="preserve">Sr.Executive </t>
  </si>
  <si>
    <t xml:space="preserve">06.10.2014</t>
  </si>
  <si>
    <t xml:space="preserve">export Logistics</t>
  </si>
  <si>
    <t xml:space="preserve">Finto Philippose</t>
  </si>
  <si>
    <t xml:space="preserve">01.05.2015</t>
  </si>
  <si>
    <t xml:space="preserve">Sreekuttan N.R </t>
  </si>
  <si>
    <t xml:space="preserve">Surendranathan C.</t>
  </si>
  <si>
    <t xml:space="preserve">19.01.2015</t>
  </si>
  <si>
    <t xml:space="preserve">Perumal .S </t>
  </si>
  <si>
    <t xml:space="preserve"> Sr.Assistant</t>
  </si>
  <si>
    <t xml:space="preserve">Shereef K.U. </t>
  </si>
  <si>
    <t xml:space="preserve">05.02.2015</t>
  </si>
  <si>
    <t xml:space="preserve">Dinesh T T</t>
  </si>
  <si>
    <t xml:space="preserve">23.02.2015</t>
  </si>
  <si>
    <t xml:space="preserve">Noble T.N. </t>
  </si>
  <si>
    <t xml:space="preserve">04.03.2015</t>
  </si>
  <si>
    <t xml:space="preserve">Management Audit</t>
  </si>
  <si>
    <t xml:space="preserve">Sudheesh Kumar T.S.</t>
  </si>
  <si>
    <t xml:space="preserve">16.03.2015</t>
  </si>
  <si>
    <t xml:space="preserve">Vishnu K.V.</t>
  </si>
  <si>
    <t xml:space="preserve">Babu V R</t>
  </si>
  <si>
    <t xml:space="preserve">01.02.2015</t>
  </si>
  <si>
    <t xml:space="preserve">Derik Paul</t>
  </si>
  <si>
    <t xml:space="preserve">01.04.2015</t>
  </si>
  <si>
    <t xml:space="preserve">Arun Babu </t>
  </si>
  <si>
    <t xml:space="preserve">09.04.2015</t>
  </si>
  <si>
    <t xml:space="preserve">Dixon Davis </t>
  </si>
  <si>
    <t xml:space="preserve">20.04.2015</t>
  </si>
  <si>
    <t xml:space="preserve">Lijo Varappan </t>
  </si>
  <si>
    <t xml:space="preserve">02.05.2015</t>
  </si>
  <si>
    <t xml:space="preserve">Prasanth Kumar .P </t>
  </si>
  <si>
    <t xml:space="preserve">04.05.2015</t>
  </si>
  <si>
    <t xml:space="preserve">Krishnadev V.S. </t>
  </si>
  <si>
    <t xml:space="preserve">Unit incharg</t>
  </si>
  <si>
    <t xml:space="preserve">12.05.2015</t>
  </si>
  <si>
    <t xml:space="preserve">Abey Vinnifred</t>
  </si>
  <si>
    <t xml:space="preserve">SR.EXECUTIVE </t>
  </si>
  <si>
    <t xml:space="preserve">01.06.2015</t>
  </si>
  <si>
    <t xml:space="preserve">Jayan K</t>
  </si>
  <si>
    <t xml:space="preserve">22.06.2015</t>
  </si>
  <si>
    <t xml:space="preserve">Outsourcing </t>
  </si>
  <si>
    <t xml:space="preserve">Ajith N.P.</t>
  </si>
  <si>
    <t xml:space="preserve">20.06.2015</t>
  </si>
  <si>
    <t xml:space="preserve">Vinu Mohan</t>
  </si>
  <si>
    <t xml:space="preserve">Assistant - </t>
  </si>
  <si>
    <t xml:space="preserve">26.05.2015</t>
  </si>
  <si>
    <t xml:space="preserve">Sajitha A.D </t>
  </si>
  <si>
    <t xml:space="preserve">01.07.2015</t>
  </si>
  <si>
    <t xml:space="preserve">Raneesh V.R.</t>
  </si>
  <si>
    <t xml:space="preserve">Driver </t>
  </si>
  <si>
    <t xml:space="preserve">Subramania Rao.B </t>
  </si>
  <si>
    <t xml:space="preserve">06.07.2015</t>
  </si>
  <si>
    <t xml:space="preserve">Administarion</t>
  </si>
  <si>
    <t xml:space="preserve">Renu P.R </t>
  </si>
  <si>
    <t xml:space="preserve">05.10.2015</t>
  </si>
  <si>
    <t xml:space="preserve">Rahul Ramesh </t>
  </si>
  <si>
    <t xml:space="preserve">21.09.2015</t>
  </si>
  <si>
    <t xml:space="preserve">Jayachandran P V</t>
  </si>
  <si>
    <t xml:space="preserve">Sr.Assistant </t>
  </si>
  <si>
    <t xml:space="preserve">17.09.2015</t>
  </si>
  <si>
    <t xml:space="preserve">Vishnu Raveendran</t>
  </si>
  <si>
    <t xml:space="preserve">19.09.2015</t>
  </si>
  <si>
    <t xml:space="preserve">Vasudevan Namboothiri</t>
  </si>
  <si>
    <t xml:space="preserve">Dy.General Manager </t>
  </si>
  <si>
    <t xml:space="preserve">07.10.2015</t>
  </si>
  <si>
    <t xml:space="preserve">Jithu Prasad </t>
  </si>
  <si>
    <t xml:space="preserve">Executive - HR </t>
  </si>
  <si>
    <t xml:space="preserve">23.09.2015</t>
  </si>
  <si>
    <t xml:space="preserve">Shijith P.S  </t>
  </si>
  <si>
    <t xml:space="preserve">05.12.2013</t>
  </si>
  <si>
    <t xml:space="preserve">Remya Harikrishnan</t>
  </si>
  <si>
    <t xml:space="preserve"> Sr.Executive</t>
  </si>
  <si>
    <t xml:space="preserve">16.04.2014</t>
  </si>
  <si>
    <t xml:space="preserve">Jaya Kumar .R </t>
  </si>
  <si>
    <t xml:space="preserve">Abhilash.P</t>
  </si>
  <si>
    <t xml:space="preserve">Jr.Exe-Food Safety &amp; QA</t>
  </si>
  <si>
    <t xml:space="preserve">18.12.2017</t>
  </si>
  <si>
    <t xml:space="preserve">Amal.M.K .</t>
  </si>
  <si>
    <t xml:space="preserve">Assistant Accounts</t>
  </si>
  <si>
    <t xml:space="preserve">07.12.2016</t>
  </si>
  <si>
    <t xml:space="preserve">Santhosh E.G. </t>
  </si>
  <si>
    <t xml:space="preserve">Asst.Supervisor </t>
  </si>
  <si>
    <t xml:space="preserve">Sudheesh T P</t>
  </si>
  <si>
    <t xml:space="preserve">20.02.2002</t>
  </si>
  <si>
    <t xml:space="preserve">Anumuthu.G</t>
  </si>
  <si>
    <t xml:space="preserve">10.08.2007</t>
  </si>
  <si>
    <t xml:space="preserve">Ramalingam.M</t>
  </si>
  <si>
    <t xml:space="preserve">Senior Technician</t>
  </si>
  <si>
    <t xml:space="preserve">20.10.2008</t>
  </si>
  <si>
    <t xml:space="preserve">Basanto.B</t>
  </si>
  <si>
    <t xml:space="preserve">Technician</t>
  </si>
  <si>
    <t xml:space="preserve">05.11.2008</t>
  </si>
  <si>
    <t xml:space="preserve">Muralidaran B S</t>
  </si>
  <si>
    <t xml:space="preserve">27.04.2009</t>
  </si>
  <si>
    <t xml:space="preserve">Alex Pandian</t>
  </si>
  <si>
    <t xml:space="preserve">15.06.2009</t>
  </si>
  <si>
    <t xml:space="preserve">Biju K Thomas</t>
  </si>
  <si>
    <t xml:space="preserve">AGM </t>
  </si>
  <si>
    <t xml:space="preserve"> Hosur Operations / Franchise Developement</t>
  </si>
  <si>
    <t xml:space="preserve">Satheesh C</t>
  </si>
  <si>
    <t xml:space="preserve">22.04.2010</t>
  </si>
  <si>
    <t xml:space="preserve">Sudhanshu Sekhar Pali</t>
  </si>
  <si>
    <t xml:space="preserve">11.03.2009</t>
  </si>
  <si>
    <t xml:space="preserve">Karthikeyan.M.P</t>
  </si>
  <si>
    <t xml:space="preserve">14.03.2014</t>
  </si>
  <si>
    <t xml:space="preserve">Joraj James</t>
  </si>
  <si>
    <t xml:space="preserve">Vijesh.P.T</t>
  </si>
  <si>
    <t xml:space="preserve">Hari Babu G</t>
  </si>
  <si>
    <t xml:space="preserve">02.07.2011</t>
  </si>
  <si>
    <t xml:space="preserve">Jothi Babu.K</t>
  </si>
  <si>
    <t xml:space="preserve">15.07.2011</t>
  </si>
  <si>
    <t xml:space="preserve">Mohan Das.P.P</t>
  </si>
  <si>
    <t xml:space="preserve">01.08.2010</t>
  </si>
  <si>
    <t xml:space="preserve">Arun.V</t>
  </si>
  <si>
    <t xml:space="preserve">14.07.2011</t>
  </si>
  <si>
    <t xml:space="preserve">Anbarasan.M</t>
  </si>
  <si>
    <t xml:space="preserve">21.09.2011</t>
  </si>
  <si>
    <t xml:space="preserve">Narayanan.P.M</t>
  </si>
  <si>
    <t xml:space="preserve">23.01.2012</t>
  </si>
  <si>
    <t xml:space="preserve">Anil.R</t>
  </si>
  <si>
    <t xml:space="preserve"> Sr.Manager - H R </t>
  </si>
  <si>
    <t xml:space="preserve">Anbarasan.D</t>
  </si>
  <si>
    <t xml:space="preserve">Dy. Manager </t>
  </si>
  <si>
    <t xml:space="preserve">18.01.2012</t>
  </si>
  <si>
    <t xml:space="preserve">Biplab Rout</t>
  </si>
  <si>
    <t xml:space="preserve">Assistant - Maintenance</t>
  </si>
  <si>
    <t xml:space="preserve">Prasanth Kumar.M</t>
  </si>
  <si>
    <t xml:space="preserve">07.05.2012</t>
  </si>
  <si>
    <t xml:space="preserve">Madhu Raj.K</t>
  </si>
  <si>
    <t xml:space="preserve">20.04.2012</t>
  </si>
  <si>
    <t xml:space="preserve">Rajeev M.B </t>
  </si>
  <si>
    <t xml:space="preserve">25.05.2012</t>
  </si>
  <si>
    <t xml:space="preserve">Satheeshkumar.R</t>
  </si>
  <si>
    <t xml:space="preserve">16.08.2012</t>
  </si>
  <si>
    <t xml:space="preserve">Prince Joseph</t>
  </si>
  <si>
    <t xml:space="preserve">Santhoshkumar C</t>
  </si>
  <si>
    <t xml:space="preserve">commercial</t>
  </si>
  <si>
    <t xml:space="preserve">Govind Mishra </t>
  </si>
  <si>
    <t xml:space="preserve">Arun Kumar .P </t>
  </si>
  <si>
    <t xml:space="preserve">Ramachandran.P</t>
  </si>
  <si>
    <t xml:space="preserve">Sudhakar.R </t>
  </si>
  <si>
    <t xml:space="preserve">05.06.2013</t>
  </si>
  <si>
    <t xml:space="preserve">Manoj Kumar Behara</t>
  </si>
  <si>
    <t xml:space="preserve">08.02.2013</t>
  </si>
  <si>
    <t xml:space="preserve">Anish.K.L</t>
  </si>
  <si>
    <t xml:space="preserve">21.10.2013</t>
  </si>
  <si>
    <t xml:space="preserve">Sownthar</t>
  </si>
  <si>
    <t xml:space="preserve">25.10.2013</t>
  </si>
  <si>
    <t xml:space="preserve">Sridhar. R </t>
  </si>
  <si>
    <t xml:space="preserve">06.11.2013</t>
  </si>
  <si>
    <t xml:space="preserve">Santhosh Naidu.N</t>
  </si>
  <si>
    <t xml:space="preserve"> Sr.Assistant </t>
  </si>
  <si>
    <t xml:space="preserve">Amal P.B</t>
  </si>
  <si>
    <t xml:space="preserve">Sundaresan.R</t>
  </si>
  <si>
    <t xml:space="preserve">18.11.2014</t>
  </si>
  <si>
    <t xml:space="preserve">Senthil Kumar S</t>
  </si>
  <si>
    <t xml:space="preserve">Rama Moorthy.C</t>
  </si>
  <si>
    <t xml:space="preserve">02.04.2015</t>
  </si>
  <si>
    <t xml:space="preserve">Manesh .U.P.  </t>
  </si>
  <si>
    <t xml:space="preserve">Senior Executive</t>
  </si>
  <si>
    <t xml:space="preserve">08.04.2015</t>
  </si>
  <si>
    <t xml:space="preserve">Dhinesh.S</t>
  </si>
  <si>
    <t xml:space="preserve">14.04.2015</t>
  </si>
  <si>
    <t xml:space="preserve">Jayaprabhu Kumar B.</t>
  </si>
  <si>
    <t xml:space="preserve">08.06.2015</t>
  </si>
  <si>
    <t xml:space="preserve">Vinson C.V</t>
  </si>
  <si>
    <t xml:space="preserve">17.08.2015</t>
  </si>
  <si>
    <t xml:space="preserve">Rakesh Kumar .R </t>
  </si>
  <si>
    <t xml:space="preserve">Hariharan.R</t>
  </si>
  <si>
    <t xml:space="preserve">Trainee</t>
  </si>
  <si>
    <t xml:space="preserve">12.04.2018</t>
  </si>
  <si>
    <t xml:space="preserve">Prasanth Kumar K</t>
  </si>
  <si>
    <t xml:space="preserve">12.10.2015</t>
  </si>
  <si>
    <t xml:space="preserve">T Karthick</t>
  </si>
  <si>
    <t xml:space="preserve">Rajiv Gandhi</t>
  </si>
  <si>
    <t xml:space="preserve"> Sr.Supervisor </t>
  </si>
  <si>
    <t xml:space="preserve">23.12.2009</t>
  </si>
  <si>
    <t xml:space="preserve">Ravichandran</t>
  </si>
  <si>
    <t xml:space="preserve">Sr.Manager </t>
  </si>
  <si>
    <t xml:space="preserve">30.11.2015</t>
  </si>
  <si>
    <t xml:space="preserve">Rohith K.S. </t>
  </si>
  <si>
    <t xml:space="preserve">01.12.2015</t>
  </si>
  <si>
    <t xml:space="preserve">Fasil .V</t>
  </si>
  <si>
    <t xml:space="preserve">02.12.2015</t>
  </si>
  <si>
    <t xml:space="preserve">Nikhil M.S.</t>
  </si>
  <si>
    <t xml:space="preserve">Assitant </t>
  </si>
  <si>
    <t xml:space="preserve">07.12.2015</t>
  </si>
  <si>
    <t xml:space="preserve">Akhil P Bharadhan</t>
  </si>
  <si>
    <t xml:space="preserve">29.09.2014</t>
  </si>
  <si>
    <t xml:space="preserve">Tikaram Dhakal</t>
  </si>
  <si>
    <t xml:space="preserve">Prashant Kumar</t>
  </si>
  <si>
    <t xml:space="preserve">10.01.2011</t>
  </si>
  <si>
    <t xml:space="preserve">Harimohan Roi</t>
  </si>
  <si>
    <t xml:space="preserve">Sr. Assistant</t>
  </si>
  <si>
    <t xml:space="preserve">Mehmood Khan</t>
  </si>
  <si>
    <t xml:space="preserve">Hareram Patel</t>
  </si>
  <si>
    <t xml:space="preserve">11.05.2012</t>
  </si>
  <si>
    <t xml:space="preserve">Abin.C.A</t>
  </si>
  <si>
    <t xml:space="preserve">18.04.2013</t>
  </si>
  <si>
    <t xml:space="preserve">Vishal Sharma </t>
  </si>
  <si>
    <t xml:space="preserve">06.12.2013</t>
  </si>
  <si>
    <t xml:space="preserve">Ashok Kumar </t>
  </si>
  <si>
    <t xml:space="preserve">28.02.2014</t>
  </si>
  <si>
    <t xml:space="preserve">Rajanikant</t>
  </si>
  <si>
    <t xml:space="preserve">17.08.2009</t>
  </si>
  <si>
    <t xml:space="preserve">Maya S Nair</t>
  </si>
  <si>
    <t xml:space="preserve">21.12.2009</t>
  </si>
  <si>
    <t xml:space="preserve">Anand Menon</t>
  </si>
  <si>
    <t xml:space="preserve">DGM</t>
  </si>
  <si>
    <t xml:space="preserve">05.09.2012</t>
  </si>
  <si>
    <t xml:space="preserve">Domestic &amp; International Trading</t>
  </si>
  <si>
    <t xml:space="preserve">Ayushi Kakwani</t>
  </si>
  <si>
    <t xml:space="preserve">1.07.2013</t>
  </si>
  <si>
    <t xml:space="preserve">International Trade</t>
  </si>
  <si>
    <t xml:space="preserve">Ramkumar Ahirwar </t>
  </si>
  <si>
    <t xml:space="preserve">Asst.Mananger </t>
  </si>
  <si>
    <t xml:space="preserve">Laxmanbabu . N </t>
  </si>
  <si>
    <t xml:space="preserve">Head - Agri Business (Organic)</t>
  </si>
  <si>
    <t xml:space="preserve">Platini Mishra </t>
  </si>
  <si>
    <t xml:space="preserve">19.08.2014</t>
  </si>
  <si>
    <t xml:space="preserve">Suresh Raymani .A </t>
  </si>
  <si>
    <t xml:space="preserve">01.09.2014</t>
  </si>
  <si>
    <t xml:space="preserve">Pranav Venu .V</t>
  </si>
  <si>
    <t xml:space="preserve">Rajesh N. Naik</t>
  </si>
  <si>
    <t xml:space="preserve">Certification</t>
  </si>
  <si>
    <t xml:space="preserve">Sunil Shankar Mankar </t>
  </si>
  <si>
    <t xml:space="preserve">Sr.Manager  </t>
  </si>
  <si>
    <t xml:space="preserve">P.K. Ramany</t>
  </si>
  <si>
    <t xml:space="preserve">Abhishek.D.Kelkar</t>
  </si>
  <si>
    <t xml:space="preserve">Manager-Export</t>
  </si>
  <si>
    <t xml:space="preserve">12.01.2018</t>
  </si>
  <si>
    <t xml:space="preserve">export</t>
  </si>
  <si>
    <t xml:space="preserve">Jose.K.V</t>
  </si>
  <si>
    <t xml:space="preserve">04.04.2018</t>
  </si>
  <si>
    <t xml:space="preserve">Export/organic</t>
  </si>
  <si>
    <t xml:space="preserve">Green</t>
  </si>
  <si>
    <t xml:space="preserve">Giji O.S. </t>
  </si>
  <si>
    <t xml:space="preserve">Sr.Executive - Human Resources</t>
  </si>
  <si>
    <t xml:space="preserve">01.02.2016</t>
  </si>
  <si>
    <t xml:space="preserve">Savitha Y.S </t>
  </si>
  <si>
    <t xml:space="preserve">R&amp;D</t>
  </si>
  <si>
    <t xml:space="preserve">Sowmya .M  </t>
  </si>
  <si>
    <t xml:space="preserve">01.12.2014</t>
  </si>
  <si>
    <t xml:space="preserve">Sreekumar . S </t>
  </si>
  <si>
    <t xml:space="preserve">15.02.2016</t>
  </si>
  <si>
    <t xml:space="preserve">Harikrishnan.D</t>
  </si>
  <si>
    <t xml:space="preserve">Prabi Srinivas</t>
  </si>
  <si>
    <t xml:space="preserve">Receptionist </t>
  </si>
  <si>
    <t xml:space="preserve">04.02.2016</t>
  </si>
  <si>
    <t xml:space="preserve">Akhildas .H </t>
  </si>
  <si>
    <t xml:space="preserve">24.02.2016</t>
  </si>
  <si>
    <t xml:space="preserve">Periya Samy K</t>
  </si>
  <si>
    <t xml:space="preserve">11.02.2016</t>
  </si>
  <si>
    <t xml:space="preserve">Ramakrishnan .P </t>
  </si>
  <si>
    <t xml:space="preserve">02.03.2016</t>
  </si>
  <si>
    <t xml:space="preserve">Suresh .C </t>
  </si>
  <si>
    <t xml:space="preserve">M.B.Tamilselvan</t>
  </si>
  <si>
    <t xml:space="preserve">25.03.2016</t>
  </si>
  <si>
    <t xml:space="preserve">Bhagaban Barik </t>
  </si>
  <si>
    <t xml:space="preserve">01.04.2016</t>
  </si>
  <si>
    <t xml:space="preserve">Sayooj.P.V</t>
  </si>
  <si>
    <t xml:space="preserve">11.05.2016</t>
  </si>
  <si>
    <t xml:space="preserve">costing</t>
  </si>
  <si>
    <t xml:space="preserve">Sarath.P.S</t>
  </si>
  <si>
    <t xml:space="preserve">19.05.2016</t>
  </si>
  <si>
    <t xml:space="preserve">Haleem Basha V M</t>
  </si>
  <si>
    <t xml:space="preserve">20.05.2016</t>
  </si>
  <si>
    <t xml:space="preserve">Rajasekar.A</t>
  </si>
  <si>
    <t xml:space="preserve">23.05.2016</t>
  </si>
  <si>
    <t xml:space="preserve">Dayanand  Laxman Hundlewadkar</t>
  </si>
  <si>
    <t xml:space="preserve">Project - Coordinatior</t>
  </si>
  <si>
    <t xml:space="preserve">Vibin T I</t>
  </si>
  <si>
    <t xml:space="preserve">26.05.2016</t>
  </si>
  <si>
    <t xml:space="preserve">Renjith Murukan</t>
  </si>
  <si>
    <t xml:space="preserve">30.05.2016</t>
  </si>
  <si>
    <t xml:space="preserve">Microbiologist </t>
  </si>
  <si>
    <t xml:space="preserve">Manosh V M</t>
  </si>
  <si>
    <t xml:space="preserve">Jr. Executive - IT</t>
  </si>
  <si>
    <t xml:space="preserve">Vineetha M Nair</t>
  </si>
  <si>
    <t xml:space="preserve">Microbiologist</t>
  </si>
  <si>
    <t xml:space="preserve">R.Annamalai</t>
  </si>
  <si>
    <t xml:space="preserve">13.06.2016</t>
  </si>
  <si>
    <t xml:space="preserve">Ramesh Babu Barge</t>
  </si>
  <si>
    <t xml:space="preserve">Johnson. K.M.</t>
  </si>
  <si>
    <t xml:space="preserve">Senior Operator</t>
  </si>
  <si>
    <t xml:space="preserve">Retail Ventures</t>
  </si>
  <si>
    <t xml:space="preserve">K.I.Abdul Kareem</t>
  </si>
  <si>
    <t xml:space="preserve">Sudheesh .P.K</t>
  </si>
  <si>
    <t xml:space="preserve">Nandakumar .V </t>
  </si>
  <si>
    <t xml:space="preserve">David Paul </t>
  </si>
  <si>
    <t xml:space="preserve">05.07.2016</t>
  </si>
  <si>
    <t xml:space="preserve">Sabarish .P </t>
  </si>
  <si>
    <t xml:space="preserve">08.07.2016</t>
  </si>
  <si>
    <t xml:space="preserve">Kamal .M</t>
  </si>
  <si>
    <t xml:space="preserve">Sajin K.S. </t>
  </si>
  <si>
    <t xml:space="preserve">09.07.2016</t>
  </si>
  <si>
    <t xml:space="preserve">Susheel Tiwari</t>
  </si>
  <si>
    <t xml:space="preserve">13.07.2016</t>
  </si>
  <si>
    <t xml:space="preserve">Vinod Kumar Mandloi</t>
  </si>
  <si>
    <t xml:space="preserve">01.08.2016</t>
  </si>
  <si>
    <t xml:space="preserve">Vishnu A.V.</t>
  </si>
  <si>
    <t xml:space="preserve">16.08.2016</t>
  </si>
  <si>
    <t xml:space="preserve">Kamalakannan</t>
  </si>
  <si>
    <t xml:space="preserve">19.09.2016</t>
  </si>
  <si>
    <t xml:space="preserve">Naresh Kumar A</t>
  </si>
  <si>
    <t xml:space="preserve">AGM</t>
  </si>
  <si>
    <t xml:space="preserve">Biju.T.D</t>
  </si>
  <si>
    <t xml:space="preserve">Prasanth Babu Devarakonda</t>
  </si>
  <si>
    <t xml:space="preserve">Junior Executive</t>
  </si>
  <si>
    <t xml:space="preserve">21.09.2016</t>
  </si>
  <si>
    <t xml:space="preserve">Supply Chain Managemen</t>
  </si>
  <si>
    <t xml:space="preserve"> Ajay P</t>
  </si>
  <si>
    <t xml:space="preserve">01.10.2016</t>
  </si>
  <si>
    <t xml:space="preserve">Jayesh.K .</t>
  </si>
  <si>
    <t xml:space="preserve">Vargheese P D</t>
  </si>
  <si>
    <t xml:space="preserve">03.10.2016</t>
  </si>
  <si>
    <t xml:space="preserve">Vijay K</t>
  </si>
  <si>
    <t xml:space="preserve">07.10.2016</t>
  </si>
  <si>
    <t xml:space="preserve">Baiju P Babu</t>
  </si>
  <si>
    <t xml:space="preserve"> Operator</t>
  </si>
  <si>
    <t xml:space="preserve">Dipin.K.S</t>
  </si>
  <si>
    <t xml:space="preserve">Supervisor-Production</t>
  </si>
  <si>
    <t xml:space="preserve">12.10.2016</t>
  </si>
  <si>
    <t xml:space="preserve">B.Anilkumar</t>
  </si>
  <si>
    <t xml:space="preserve">Security Supervisor</t>
  </si>
  <si>
    <t xml:space="preserve"> Chiranjaya Jena </t>
  </si>
  <si>
    <t xml:space="preserve">Supervisor - Production</t>
  </si>
  <si>
    <t xml:space="preserve">22.10.2016</t>
  </si>
  <si>
    <t xml:space="preserve">Leo Thomas</t>
  </si>
  <si>
    <t xml:space="preserve">Senior Executive-HR</t>
  </si>
  <si>
    <t xml:space="preserve">24.10.2016</t>
  </si>
  <si>
    <t xml:space="preserve">Kaushl Gajjar </t>
  </si>
  <si>
    <t xml:space="preserve"> Internatiaonal Business</t>
  </si>
  <si>
    <t xml:space="preserve">Sebastian P.T.</t>
  </si>
  <si>
    <t xml:space="preserve">Purchase Officer </t>
  </si>
  <si>
    <t xml:space="preserve">03.11.2016</t>
  </si>
  <si>
    <t xml:space="preserve">Sudheer P.V </t>
  </si>
  <si>
    <t xml:space="preserve">21.11.2016</t>
  </si>
  <si>
    <t xml:space="preserve">Cyril.S</t>
  </si>
  <si>
    <t xml:space="preserve">Exe-Admin</t>
  </si>
  <si>
    <t xml:space="preserve">Akhil Baby</t>
  </si>
  <si>
    <t xml:space="preserve"> Loveena Anthony Dhiman</t>
  </si>
  <si>
    <t xml:space="preserve">Executive - Export</t>
  </si>
  <si>
    <t xml:space="preserve">Bhusan Valmik</t>
  </si>
  <si>
    <t xml:space="preserve">Junior Executive-Certific</t>
  </si>
  <si>
    <t xml:space="preserve">13.12.2016</t>
  </si>
  <si>
    <t xml:space="preserve">Dhanraj Bhanudas Nagar Goje</t>
  </si>
  <si>
    <t xml:space="preserve">Executive - Food Safety &amp; QA</t>
  </si>
  <si>
    <t xml:space="preserve">17.01.2017</t>
  </si>
  <si>
    <t xml:space="preserve">Joby Das</t>
  </si>
  <si>
    <t xml:space="preserve">22.02.2017</t>
  </si>
  <si>
    <t xml:space="preserve">Sudheesh.M.S</t>
  </si>
  <si>
    <t xml:space="preserve">Trainee – Logistics</t>
  </si>
  <si>
    <t xml:space="preserve">27.02.2017</t>
  </si>
  <si>
    <t xml:space="preserve">Nithindas.C.H</t>
  </si>
  <si>
    <t xml:space="preserve">06.03.2017</t>
  </si>
  <si>
    <t xml:space="preserve">Binil Saju</t>
  </si>
  <si>
    <t xml:space="preserve">Executive - Purchase</t>
  </si>
  <si>
    <t xml:space="preserve">09.03.2017</t>
  </si>
  <si>
    <t xml:space="preserve">Baiju Devassy</t>
  </si>
  <si>
    <t xml:space="preserve">10.04.2017</t>
  </si>
  <si>
    <t xml:space="preserve">Bineesh Kuniyil</t>
  </si>
  <si>
    <t xml:space="preserve">21.03.2018</t>
  </si>
  <si>
    <t xml:space="preserve">Rakesh.K.R</t>
  </si>
  <si>
    <t xml:space="preserve">Sujith Milan.G</t>
  </si>
  <si>
    <t xml:space="preserve">20.04.2017</t>
  </si>
  <si>
    <t xml:space="preserve">Daxesh Barot</t>
  </si>
  <si>
    <t xml:space="preserve">01.05.2017</t>
  </si>
  <si>
    <t xml:space="preserve">International Business</t>
  </si>
  <si>
    <t xml:space="preserve">Rajesh.M</t>
  </si>
  <si>
    <t xml:space="preserve">David.D</t>
  </si>
  <si>
    <t xml:space="preserve">Jobin Baby</t>
  </si>
  <si>
    <t xml:space="preserve">23.05.2017</t>
  </si>
  <si>
    <t xml:space="preserve">Nikhil Ravi</t>
  </si>
  <si>
    <t xml:space="preserve">Joe Paul.K</t>
  </si>
  <si>
    <t xml:space="preserve">01.06.2017</t>
  </si>
  <si>
    <t xml:space="preserve">Dinesh.P.U</t>
  </si>
  <si>
    <t xml:space="preserve">Anup George</t>
  </si>
  <si>
    <t xml:space="preserve">Sr.Executive-FS&amp; QA</t>
  </si>
  <si>
    <t xml:space="preserve">Sreerag.V.J</t>
  </si>
  <si>
    <t xml:space="preserve">07.06.2017</t>
  </si>
  <si>
    <t xml:space="preserve">Sumit Jaywant Kamble</t>
  </si>
  <si>
    <t xml:space="preserve">Sr.Executive-packagings</t>
  </si>
  <si>
    <t xml:space="preserve">Packaging </t>
  </si>
  <si>
    <t xml:space="preserve">Banglore</t>
  </si>
  <si>
    <t xml:space="preserve">Nishant Yogvir Handa</t>
  </si>
  <si>
    <t xml:space="preserve">19.06.2017</t>
  </si>
  <si>
    <t xml:space="preserve">Liju Lambodharan Pillai</t>
  </si>
  <si>
    <t xml:space="preserve">Sr.Executive-H.R</t>
  </si>
  <si>
    <t xml:space="preserve">Sanjiv Parikh</t>
  </si>
  <si>
    <t xml:space="preserve">Asst.Manager-Purchase</t>
  </si>
  <si>
    <t xml:space="preserve">05.07.2017</t>
  </si>
  <si>
    <t xml:space="preserve">Praveen.V.V</t>
  </si>
  <si>
    <t xml:space="preserve">26.07.2017</t>
  </si>
  <si>
    <t xml:space="preserve">Alok Subramanian</t>
  </si>
  <si>
    <t xml:space="preserve">24.07.2017</t>
  </si>
  <si>
    <t xml:space="preserve">Shoban Shaju</t>
  </si>
  <si>
    <t xml:space="preserve">Trainee-Despatch</t>
  </si>
  <si>
    <t xml:space="preserve">09.03.2018</t>
  </si>
  <si>
    <t xml:space="preserve">Akash.A</t>
  </si>
  <si>
    <t xml:space="preserve">Trainee-Logistics</t>
  </si>
  <si>
    <t xml:space="preserve">Manikandan.V</t>
  </si>
  <si>
    <t xml:space="preserve">17.08.2017</t>
  </si>
  <si>
    <t xml:space="preserve">Abhijith.P.S</t>
  </si>
  <si>
    <t xml:space="preserve">10.08.2017</t>
  </si>
  <si>
    <t xml:space="preserve">Manoranjan Lenka</t>
  </si>
  <si>
    <t xml:space="preserve">01.09.2017</t>
  </si>
  <si>
    <t xml:space="preserve">Vijil.P.R</t>
  </si>
  <si>
    <t xml:space="preserve">Sumesh K S</t>
  </si>
  <si>
    <t xml:space="preserve">Sales Accountant</t>
  </si>
  <si>
    <t xml:space="preserve">01.08.2015</t>
  </si>
  <si>
    <t xml:space="preserve">Ashok Kumar .H</t>
  </si>
  <si>
    <t xml:space="preserve">08.09.2017</t>
  </si>
  <si>
    <t xml:space="preserve">Arun Thambi</t>
  </si>
  <si>
    <t xml:space="preserve">18.09.2017</t>
  </si>
  <si>
    <t xml:space="preserve">Nidhin.N</t>
  </si>
  <si>
    <t xml:space="preserve">Trainee-Production</t>
  </si>
  <si>
    <t xml:space="preserve">Gireesh.K.R</t>
  </si>
  <si>
    <t xml:space="preserve">Joshy.P.J</t>
  </si>
  <si>
    <t xml:space="preserve">Minimol.M.P</t>
  </si>
  <si>
    <t xml:space="preserve">23.03.2018</t>
  </si>
  <si>
    <t xml:space="preserve">Prashant Gokaran</t>
  </si>
  <si>
    <t xml:space="preserve">Sr.Manager-Packaging</t>
  </si>
  <si>
    <t xml:space="preserve">05.10.2017</t>
  </si>
  <si>
    <t xml:space="preserve">Francis Mathew</t>
  </si>
  <si>
    <t xml:space="preserve">13.10.2017</t>
  </si>
  <si>
    <t xml:space="preserve">S.Murugesh</t>
  </si>
  <si>
    <t xml:space="preserve">23.10.2017</t>
  </si>
  <si>
    <t xml:space="preserve">Joby.K.J</t>
  </si>
  <si>
    <t xml:space="preserve">19.10.2017</t>
  </si>
  <si>
    <t xml:space="preserve">Vijitha Vijayan.V</t>
  </si>
  <si>
    <t xml:space="preserve">Nagarajan.P</t>
  </si>
  <si>
    <t xml:space="preserve">01.12.2017</t>
  </si>
  <si>
    <t xml:space="preserve">Vinod.T</t>
  </si>
  <si>
    <t xml:space="preserve">Praveen Das.P.R</t>
  </si>
  <si>
    <t xml:space="preserve">06.11.2107</t>
  </si>
  <si>
    <t xml:space="preserve">Koushlendra Malviya</t>
  </si>
  <si>
    <t xml:space="preserve">Sr.executive-HR</t>
  </si>
  <si>
    <t xml:space="preserve">Prabhat.G.Rabari</t>
  </si>
  <si>
    <t xml:space="preserve">Dy.Manager</t>
  </si>
  <si>
    <t xml:space="preserve">Export Purchase</t>
  </si>
  <si>
    <t xml:space="preserve">Rijo Rappai</t>
  </si>
  <si>
    <t xml:space="preserve">03.01.2018</t>
  </si>
  <si>
    <t xml:space="preserve">Supriya Jacob</t>
  </si>
  <si>
    <t xml:space="preserve">17.01.2018</t>
  </si>
  <si>
    <t xml:space="preserve">Mysore</t>
  </si>
  <si>
    <t xml:space="preserve">P.Thirupathi</t>
  </si>
  <si>
    <t xml:space="preserve">S.Sivasylesh</t>
  </si>
  <si>
    <t xml:space="preserve">Venkatraj.R</t>
  </si>
  <si>
    <t xml:space="preserve">M.Shanmugam</t>
  </si>
  <si>
    <t xml:space="preserve">Karthik Rao</t>
  </si>
  <si>
    <t xml:space="preserve">22.02.2018</t>
  </si>
  <si>
    <t xml:space="preserve"> 2721</t>
  </si>
  <si>
    <t xml:space="preserve">Joseph J.</t>
  </si>
  <si>
    <t xml:space="preserve">02.05.2012</t>
  </si>
  <si>
    <t xml:space="preserve"> 2881</t>
  </si>
  <si>
    <t xml:space="preserve">Sujith V.I</t>
  </si>
  <si>
    <t xml:space="preserve"> 340</t>
  </si>
  <si>
    <t xml:space="preserve">Suresh Babu A B</t>
  </si>
  <si>
    <t xml:space="preserve">11.01.1989</t>
  </si>
  <si>
    <t xml:space="preserve"> 3613</t>
  </si>
  <si>
    <t xml:space="preserve">Sandeep S</t>
  </si>
  <si>
    <t xml:space="preserve">Admin</t>
  </si>
  <si>
    <t xml:space="preserve"> 3615</t>
  </si>
  <si>
    <t xml:space="preserve">Achari Sanoj Kumar M.</t>
  </si>
  <si>
    <t xml:space="preserve">Lithin Lakshmanan</t>
  </si>
  <si>
    <t xml:space="preserve">Trainee-Food Safety&amp; QA</t>
  </si>
  <si>
    <t xml:space="preserve">00</t>
  </si>
  <si>
    <t xml:space="preserve">Rajan.P</t>
  </si>
  <si>
    <t xml:space="preserve">Vice President</t>
  </si>
  <si>
    <t xml:space="preserve">04.12.2017</t>
  </si>
  <si>
    <t xml:space="preserve">Rajith Mundekod Puthanvidu</t>
  </si>
  <si>
    <t xml:space="preserve">Group Product Manager </t>
  </si>
  <si>
    <t xml:space="preserve">10.08.2015</t>
  </si>
  <si>
    <t xml:space="preserve">Manjesh.P.A</t>
  </si>
  <si>
    <t xml:space="preserve">Vinod .V </t>
  </si>
  <si>
    <t xml:space="preserve">Bijoy Francis </t>
  </si>
  <si>
    <t xml:space="preserve">Head </t>
  </si>
  <si>
    <t xml:space="preserve">15.06.2015</t>
  </si>
  <si>
    <t xml:space="preserve">Danesa Raghulal</t>
  </si>
  <si>
    <t xml:space="preserve">President</t>
  </si>
  <si>
    <t xml:space="preserve">1.6.2017</t>
  </si>
  <si>
    <t xml:space="preserve">E4</t>
  </si>
  <si>
    <t xml:space="preserve">Umesh C.Tripathy</t>
  </si>
  <si>
    <t xml:space="preserve">Head  </t>
  </si>
  <si>
    <t xml:space="preserve">Food Technology, Quality &amp; Innovation, Bangalore</t>
  </si>
  <si>
    <t xml:space="preserve">Heema Cholera</t>
  </si>
  <si>
    <t xml:space="preserve">Export</t>
  </si>
  <si>
    <t xml:space="preserve">Emp.No</t>
  </si>
  <si>
    <t xml:space="preserve">Quota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</si>
</sst>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_(* #,##0.00_);_(* \(#,##0.00\);_(* \-??_);_(@_)"/>
    <numFmt numFmtId="167" formatCode="_-* #,##0.00_-;\-* #,##0.00_-;_-* \-??_-;_-@_-"/>
    <numFmt numFmtId="168" formatCode="_([$€]* #,##0.00_);_([$€]* \(#,##0.00\);_([$€]* \-??_);_(@_)"/>
    <numFmt numFmtId="169" formatCode="0%"/>
    <numFmt numFmtId="170" formatCode="0"/>
    <numFmt numFmtId="171" formatCode="General"/>
    <numFmt numFmtId="172" formatCode="@"/>
    <numFmt numFmtId="173" formatCode="0_ "/>
  </numFmts>
  <fonts count="3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0"/>
      <name val="Arial"/>
      <family val="2"/>
    </font>
    <font>
      <sz val="11"/>
      <color rgb="FF80000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6666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2"/>
      <color rgb="FF000000"/>
      <name val="Cambria"/>
      <family val="2"/>
    </font>
    <font>
      <b val="true"/>
      <sz val="11"/>
      <color rgb="FF333333"/>
      <name val="Calibri"/>
      <family val="2"/>
    </font>
    <font>
      <sz val="11"/>
      <color rgb="FF333333"/>
      <name val="Arial"/>
      <family val="2"/>
    </font>
    <font>
      <sz val="10"/>
      <name val="Calibri"/>
      <family val="2"/>
      <charset val="1"/>
    </font>
    <font>
      <b val="true"/>
      <sz val="18"/>
      <color rgb="FF333399"/>
      <name val="Cambria"/>
      <family val="1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rgb="FF000000"/>
      <name val="Calibri"/>
      <family val="2"/>
    </font>
    <font>
      <sz val="13"/>
      <color rgb="FF000000"/>
      <name val="Calibri"/>
      <family val="2"/>
    </font>
    <font>
      <b val="true"/>
      <sz val="12"/>
      <color rgb="FF000000"/>
      <name val="Calibri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sz val="12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2"/>
      <color rgb="FF00CCFF"/>
      <name val="Calibri"/>
      <family val="2"/>
    </font>
    <font>
      <sz val="11"/>
      <color rgb="FF00CC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6600"/>
        <bgColor rgb="FFFF9900"/>
      </patternFill>
    </fill>
    <fill>
      <patternFill patternType="solid">
        <fgColor rgb="FF99CCFF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FFFFCC"/>
        <bgColor rgb="FFFFFFFF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>
        <color rgb="FF3D3D3D"/>
      </left>
      <right/>
      <top style="thin">
        <color rgb="FF3D3D3D"/>
      </top>
      <bottom style="thin">
        <color rgb="FF3D3D3D"/>
      </bottom>
      <diagonal/>
    </border>
  </borders>
  <cellStyleXfs count="10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7" fillId="13" borderId="0" applyFont="true" applyBorder="false" applyAlignment="true" applyProtection="false">
      <alignment horizontal="general" vertical="center" textRotation="0" wrapText="false" indent="0" shrinkToFit="false"/>
    </xf>
    <xf numFmtId="164" fontId="8" fillId="2" borderId="1" applyFont="true" applyBorder="true" applyAlignment="true" applyProtection="false">
      <alignment horizontal="general" vertical="center" textRotation="0" wrapText="false" indent="0" shrinkToFit="false"/>
    </xf>
    <xf numFmtId="164" fontId="9" fillId="14" borderId="2" applyFont="true" applyBorder="true" applyAlignment="true" applyProtection="false">
      <alignment horizontal="general" vertical="center" textRotation="0" wrapText="false" indent="0" shrinkToFit="false"/>
    </xf>
    <xf numFmtId="165" fontId="6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6" fillId="0" borderId="0" applyFont="true" applyBorder="false" applyAlignment="true" applyProtection="false">
      <alignment horizontal="general" vertical="center" textRotation="0" wrapText="false" indent="0" shrinkToFit="false"/>
    </xf>
    <xf numFmtId="165" fontId="6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1" fillId="15" borderId="0" applyFont="true" applyBorder="false" applyAlignment="true" applyProtection="false">
      <alignment horizontal="general" vertical="center" textRotation="0" wrapText="false" indent="0" shrinkToFit="false"/>
    </xf>
    <xf numFmtId="164" fontId="12" fillId="0" borderId="3" applyFont="true" applyBorder="true" applyAlignment="true" applyProtection="false">
      <alignment horizontal="general" vertical="center" textRotation="0" wrapText="false" indent="0" shrinkToFit="false"/>
    </xf>
    <xf numFmtId="164" fontId="13" fillId="0" borderId="4" applyFont="true" applyBorder="true" applyAlignment="true" applyProtection="false">
      <alignment horizontal="general" vertical="center" textRotation="0" wrapText="false" indent="0" shrinkToFit="false"/>
    </xf>
    <xf numFmtId="164" fontId="14" fillId="0" borderId="5" applyFont="true" applyBorder="true" applyAlignment="true" applyProtection="false">
      <alignment horizontal="general" vertical="center" textRotation="0" wrapText="false" indent="0" shrinkToFit="false"/>
    </xf>
    <xf numFmtId="164" fontId="14" fillId="0" borderId="0" applyFont="true" applyBorder="false" applyAlignment="true" applyProtection="false">
      <alignment horizontal="general" vertical="center" textRotation="0" wrapText="false" indent="0" shrinkToFit="false"/>
    </xf>
    <xf numFmtId="164" fontId="15" fillId="3" borderId="1" applyFont="true" applyBorder="true" applyAlignment="true" applyProtection="false">
      <alignment horizontal="general" vertical="center" textRotation="0" wrapText="false" indent="0" shrinkToFit="false"/>
    </xf>
    <xf numFmtId="164" fontId="16" fillId="0" borderId="6" applyFont="true" applyBorder="true" applyAlignment="true" applyProtection="false">
      <alignment horizontal="general" vertical="center" textRotation="0" wrapText="false" indent="0" shrinkToFit="false"/>
    </xf>
    <xf numFmtId="164" fontId="17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7" applyFont="true" applyBorder="true" applyAlignment="true" applyProtection="false">
      <alignment horizontal="general" vertical="center" textRotation="0" wrapText="false" indent="0" shrinkToFit="false"/>
    </xf>
    <xf numFmtId="164" fontId="19" fillId="2" borderId="8" applyFont="true" applyBorder="tru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0" borderId="9" applyFont="true" applyBorder="true" applyAlignment="true" applyProtection="false">
      <alignment horizontal="general" vertical="center" textRotation="0" wrapText="false" indent="0" shrinkToFit="false"/>
    </xf>
    <xf numFmtId="164" fontId="2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6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5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5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2" borderId="1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0" fontId="25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5" fillId="2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6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70" fontId="26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5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5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5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0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1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2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3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4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8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_branch profitabilitySep10" xfId="38"/>
    <cellStyle name="_branch profitabilitySep10 2" xfId="39"/>
    <cellStyle name="_TN Profit Aug10" xfId="40"/>
    <cellStyle name="_TN Profit Aug10 2" xfId="41"/>
    <cellStyle name="Accent1 2" xfId="42"/>
    <cellStyle name="Accent2 2" xfId="43"/>
    <cellStyle name="Accent3 2" xfId="44"/>
    <cellStyle name="Accent4 2" xfId="45"/>
    <cellStyle name="Accent5 2" xfId="46"/>
    <cellStyle name="Accent6 2" xfId="47"/>
    <cellStyle name="Bad 2" xfId="48"/>
    <cellStyle name="Calculation 2" xfId="49"/>
    <cellStyle name="Check Cell 2" xfId="50"/>
    <cellStyle name="Comma 10" xfId="51"/>
    <cellStyle name="Comma 11" xfId="52"/>
    <cellStyle name="Comma 2" xfId="53"/>
    <cellStyle name="Comma 2 2" xfId="54"/>
    <cellStyle name="Comma 2 3" xfId="55"/>
    <cellStyle name="Comma 3" xfId="56"/>
    <cellStyle name="Comma 3 2" xfId="57"/>
    <cellStyle name="Comma 4" xfId="58"/>
    <cellStyle name="Comma 5" xfId="59"/>
    <cellStyle name="Comma 6" xfId="60"/>
    <cellStyle name="Comma 7" xfId="61"/>
    <cellStyle name="Comma 8" xfId="62"/>
    <cellStyle name="Comma 9" xfId="63"/>
    <cellStyle name="Euro" xfId="64"/>
    <cellStyle name="Euro 2" xfId="65"/>
    <cellStyle name="Explanatory Text 2" xfId="66"/>
    <cellStyle name="Good 2" xfId="67"/>
    <cellStyle name="Heading 1 2" xfId="68"/>
    <cellStyle name="Heading 2 2" xfId="69"/>
    <cellStyle name="Heading 3 2" xfId="70"/>
    <cellStyle name="Heading 4 2" xfId="71"/>
    <cellStyle name="Input 2" xfId="72"/>
    <cellStyle name="Linked Cell 2" xfId="73"/>
    <cellStyle name="Neutral 2" xfId="74"/>
    <cellStyle name="Normal 14" xfId="75"/>
    <cellStyle name="Normal 2" xfId="76"/>
    <cellStyle name="Normal 2 2" xfId="77"/>
    <cellStyle name="Normal 2 3" xfId="78"/>
    <cellStyle name="Normal 2 4" xfId="79"/>
    <cellStyle name="Normal 3" xfId="80"/>
    <cellStyle name="Normal 3 2" xfId="81"/>
    <cellStyle name="Normal 3 3" xfId="82"/>
    <cellStyle name="Normal 4" xfId="83"/>
    <cellStyle name="Normal 4 2" xfId="84"/>
    <cellStyle name="Normal 5" xfId="85"/>
    <cellStyle name="Normal 6" xfId="86"/>
    <cellStyle name="Normal 7" xfId="87"/>
    <cellStyle name="Normal 8" xfId="88"/>
    <cellStyle name="Note 2" xfId="89"/>
    <cellStyle name="Output 2" xfId="90"/>
    <cellStyle name="Percent 2" xfId="91"/>
    <cellStyle name="Percent 3" xfId="92"/>
    <cellStyle name="Style 1" xfId="93"/>
    <cellStyle name="Style 1 2" xfId="94"/>
    <cellStyle name="TableStyleLight1" xfId="95"/>
    <cellStyle name="TableStyleLight1 2" xfId="96"/>
    <cellStyle name="Title 2" xfId="97"/>
    <cellStyle name="Total 2" xfId="98"/>
    <cellStyle name="Warning Text 2" xfId="9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D3D3D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9.xml"/><Relationship Id="rId8" Type="http://schemas.openxmlformats.org/officeDocument/2006/relationships/externalLink" Target="externalLinks/externalLink5.xml"/><Relationship Id="rId9" Type="http://schemas.openxmlformats.org/officeDocument/2006/relationships/externalLink" Target="externalLinks/externalLink6.xml"/><Relationship Id="rId10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Users/rekha/AppData/Local/Microsoft/Windows/INetCache/Content.Outlook/1UWEB07X/Revised%20%20Manning%20and%20salary%20report%20-%20oct%20%202017%20(3)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Rekha%20Data/c/Desktop/A1-%20rekha%20ho/march%20manning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Users/rekha/AppData/Local/Microsoft/Windows/INetCache/Content.Outlook/1UWEB07X/Salary%20register%20of%20%20Agro-April&apos;18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Users/rekha/AppData/Local/Microsoft/Windows/INetCache/Content.Outlook/1UWEB07X/Salary%20Register%20of%20Aroor-Apr&apos;18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Users/rekha/AppData/Local/Microsoft/Windows/INetCache/Content.Outlook/1UWEB07X/Salary%20Register%20of%20Hosur-Apr&apos;18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Users/rekha/AppData/Local/Microsoft/Windows/INetCache/Content.Outlook/1UWEB07X/Salary%20Register%20of%20Kalamassery-Apr&apos;18.xlsx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Users/rekha/AppData/Local/Microsoft/Windows/INetCache/Content.Outlook/1UWEB07X/Salary%20Register%20of%20Mumbai-Apr&apos;18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Users/rekha/AppData/Local/Microsoft/Windows/INetCache/Content.Outlook/1UWEB07X/Salary%20Register%20of%20Tasty%20Toast-Apr&apos;18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Users/rekha/AppData/Local/Microsoft/Windows/INetCache/Content.Outlook/1UWEB07X/Salary%20Register%20of%20Yamuna-Apr&apos;18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 "/>
      <sheetName val="DEPT  STR, VAC &amp; COST-NON SALES"/>
      <sheetName val="LOCATION&amp;DEPT WISE COUNT&amp;COST  "/>
      <sheetName val="DEPT WISE COUNT AND COST"/>
      <sheetName val="Non sales total list "/>
      <sheetName val="DIRECT SALES PIVOT"/>
      <sheetName val="DIRECT SALES "/>
      <sheetName val="other division"/>
      <sheetName val="t &amp;o pivot"/>
      <sheetName val="technician &amp;optr"/>
      <sheetName val="Depot Staff"/>
      <sheetName val="depot pivot"/>
      <sheetName val="SALES SUPPORT PIVOT"/>
      <sheetName val="Sales Support New"/>
      <sheetName val="VACANCY"/>
      <sheetName val="Payroll "/>
      <sheetName val="SUPPORTIN SALES old"/>
      <sheetName val="Summary"/>
      <sheetName val="DE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 standalone="yes"?>
<externalLink xmlns="http://schemas.openxmlformats.org/spreadsheetml/2006/main"><externalBook xmlns:r="http://schemas.openxmlformats.org/officeDocument/2006/relationships" r:id="rId1"><sheetNames><sheetName val="summary"/><sheetName val="nonsale pvt"/><sheetName val="nonsale"/><sheetName val="pvt sales"/><sheetName val="sales"/><sheetName val="pvt sale supp"/><sheetName val="sales support"/><sheetName val="pvt depot"/><sheetName val="depot"/><sheetName val="pvt tech"/><sheetName val="techni"/><sheetName val="consultancy"/></sheetNames><sheetDataSet><sheetData sheetId="0"></sheetData><sheetData sheetId="1"></sheetData><sheetData sheetId="2"></sheetData><sheetData sheetId="3"></sheetData><sheetData sheetId="4"><row r="2"><cell r="B2"><v>9</v></cell><cell r="C2" t="str"><v>A SHALU</v></cell><cell r="D2" t="str"><v>Territory Sales Manager </v></cell><cell r="E2" t="str"><v>P3</v></cell><cell r="F2" t="str"><v>Malappuram& Calicut</v></cell><cell r="G2" t="str"><v>Bulk</v></cell></row><row r="3"><cell r="B3"><v>27</v></cell><cell r="C3" t="str"><v>M R RAJESH KUMAR</v></cell><cell r="D3" t="str"><v>Sales Manager</v></cell><cell r="E3" t="str"><v>M2</v></cell><cell r="F3" t="str"><v>All kerala</v></cell><cell r="G3" t="str"><v>Bulk</v></cell></row><row r="4"><cell r="B4"><v>31</v></cell><cell r="C4" t="str"><v>K JAYAKUMAR</v></cell><cell r="D4" t="str"><v>Area Sales Manager</v></cell><cell r="E4" t="str"><v>M1</v></cell><cell r="F4" t="str"><v>TamilNadu</v></cell><cell r="G4" t="str"><v>Tamilnadu</v></cell></row><row r="5"><cell r="B5"><v>36</v></cell><cell r="C5" t="str"><v>SUNIL A V </v></cell><cell r="D5" t="str"><v>Territory Sales Executive</v></cell><cell r="E5" t="str"><v>S1</v></cell><cell r="F5" t="str"><v>Kannur </v></cell><cell r="G5" t="str"><v>CPD North</v></cell></row><row r="6"><cell r="B6"><v>69</v></cell><cell r="C6" t="str"><v>SANDEEP M</v></cell><cell r="D6" t="str"><v>Territory Sales Manager </v></cell><cell r="E6" t="str"><v>P3</v></cell><cell r="F6" t="str"><v>Calicut</v></cell><cell r="G6" t="str"><v>CPD North</v></cell></row><row r="7"><cell r="B7"><v>259</v></cell><cell r="C7" t="str"><v>THOMAS ABRAHAM</v></cell><cell r="D7" t="str"><v>Area Sales Manager</v></cell><cell r="E7" t="str"><v>M2</v></cell><cell r="F7" t="str"><v>Thrissur</v></cell><cell r="G7" t="str"><v>CPD South</v></cell></row><row r="8"><cell r="B8"><v>285</v></cell><cell r="C8" t="str"><v>SANTHOSH KUMAR</v></cell><cell r="D8" t="str"><v>Sr. Territory Sales Executive</v></cell><cell r="E8" t="str"><v>S2</v></cell><cell r="F8" t="str"><v>TVM</v></cell><cell r="G8" t="str"><v>Bakery South</v></cell></row><row r="9"><cell r="B9"><v>555</v></cell><cell r="C9" t="str"><v>RAJEEV K L</v></cell><cell r="D9" t="str"><v>Sr. Territory Sales Executive</v></cell><cell r="E9" t="str"><v>P2</v></cell><cell r="F9" t="str"><v>Thrissur</v></cell><cell r="G9" t="str"><v>Institution Sales</v></cell></row><row r="10"><cell r="B10"><v>567</v></cell><cell r="C10" t="str"><v>MANIKANDAN T</v></cell><cell r="D10" t="str"><v>Area Sales Manager</v></cell><cell r="E10" t="str"><v>M1</v></cell><cell r="F10" t="str"><v>Thrissur</v></cell><cell r="G10" t="str"><v>Institution Sales</v></cell></row><row r="11"><cell r="B11"><v>731</v></cell><cell r="C11" t="str"><v>K C REGHUNATH</v></cell><cell r="D11" t="str"><v>Sr. Territory Sales Executive</v></cell><cell r="E11" t="str"><v>S2</v></cell><cell r="F11" t="str"><v>Kottayam</v></cell><cell r="G11" t="str"><v>Bulk</v></cell></row><row r="12"><cell r="B12"><v>808</v></cell><cell r="C12" t="str"><v>Sujesh K T</v></cell><cell r="D12" t="str"><v>Territory Sales Executive</v></cell><cell r="E12" t="str"><v>S1</v></cell><cell r="F12" t="str"><v>Calicut</v></cell><cell r="G12" t="str"><v>Institution Sales</v></cell></row><row r="13"><cell r="B13"><v>904</v></cell><cell r="C13" t="str"><v>SUNIL KUMAR K</v></cell><cell r="D13" t="str"><v>Territory Sales Manager </v></cell><cell r="E13" t="str"><v>P3</v></cell><cell r="F13" t="str"><v>Thrissur</v></cell><cell r="G13" t="str"><v>Bakery South</v></cell></row><row r="14"><cell r="B14"><v>1056</v></cell><cell r="C14" t="str"><v>K M GIRISH KUMAR</v></cell><cell r="D14" t="str"><v>Sr. Territory Sales Executive</v></cell><cell r="E14" t="str"><v>S2</v></cell><cell r="F14" t="str"><v>Alappy</v></cell><cell r="G14" t="str"><v>Bulk</v></cell></row><row r="15"><cell r="B15"><v>1213</v></cell><cell r="C15" t="str"><v>RAJEESH .P</v></cell><cell r="D15" t="str"><v>Territory Sales Executive</v></cell><cell r="E15" t="str"><v>S2</v></cell><cell r="F15" t="str"><v>Calicut</v></cell><cell r="G15" t="str"><v>Bakery North</v></cell></row><row r="16"><cell r="B16"><v>1221</v></cell><cell r="C16" t="str"><v>Abbas.B</v></cell><cell r="D16" t="str"><v>Territory Sales Executive</v></cell><cell r="E16" t="str"><v>S2</v></cell><cell r="F16" t="str"><v>Thrissur</v></cell><cell r="G16" t="str"><v>Bakery South</v></cell></row><row r="17"><cell r="B17"><v>1276</v></cell><cell r="C17" t="str"><v>GOPINATHAN K</v></cell><cell r="D17" t="str"><v>Territory Sales Executive</v></cell><cell r="E17" t="str"><v>S2</v></cell><cell r="F17" t="str"><v>Manjery </v></cell><cell r="G17" t="str"><v>Bakery North</v></cell></row><row r="18"><cell r="B18"><v>1397</v></cell><cell r="C18" t="str"><v>JAYAKUMAR K P</v></cell><cell r="D18" t="str"><v>Territory Sales Executive</v></cell><cell r="E18" t="str"><v>S1</v></cell><cell r="F18" t="str"><v>Cherthala</v></cell><cell r="G18" t="str"><v>Bulk</v></cell></row><row r="19"><cell r="B19"><v>1420</v></cell><cell r="C19" t="str"><v>PRASANTH V B</v></cell><cell r="D19" t="str"><v>Sr. Territory Sales Executive</v></cell><cell r="E19" t="str"><v>S2</v></cell><cell r="F19" t="str"><v>Ottapalam</v></cell><cell r="G19" t="str"><v>CPD North</v></cell></row><row r="20"><cell r="B20"><v>1423</v></cell><cell r="C20" t="str"><v>KALESH KUMAR</v></cell><cell r="D20" t="str"><v>Territory Sales Executive</v></cell><cell r="E20" t="str"><v>S2</v></cell><cell r="F20" t="str"><v>Pathanamthiitta</v></cell><cell r="G20" t="str"><v>Bakery South</v></cell></row><row r="21"><cell r="B21"><v>1450</v></cell><cell r="C21" t="str"><v>S MOHAN KUMAR</v></cell><cell r="D21" t="str"><v>Territory Sales Executive</v></cell><cell r="E21" t="str"><v>S1</v></cell><cell r="F21" t="str"><v>TVM</v></cell><cell r="G21" t="str"><v>CPD South</v></cell></row><row r="22"><cell r="B22"><v>1467</v></cell><cell r="C22" t="str"><v>SELVAN R</v></cell><cell r="D22" t="str"><v>Territory Sales Manager </v></cell><cell r="E22" t="str"><v>P3</v></cell><cell r="F22" t="str"><v>Pathanamthiita,Alappy,Kottayam</v></cell><cell r="G22" t="str"><v>Bakery South</v></cell></row><row r="23"><cell r="B23"><v>1525</v></cell><cell r="C23" t="str"><v>NAVANEETH   KRISHNAN</v></cell><cell r="D23" t="str"><v>Sr. Territory Sales Executive</v></cell><cell r="E23" t="str"><v>S2</v></cell><cell r="F23" t="str"><v>Palakkad</v></cell><cell r="G23" t="str"><v>Modern Trade</v></cell></row><row r="24"><cell r="B24"><v>1546</v></cell><cell r="C24" t="str"><v>Sudheer Babu P.</v></cell><cell r="D24" t="str"><v>Territory Sales Executive</v></cell><cell r="E24" t="str"><v>S1</v></cell><cell r="F24" t="str"><v>Malapuram</v></cell><cell r="G24" t="str"><v>Modern Trade</v></cell></row><row r="25"><cell r="B25"><v>1617</v></cell><cell r="C25" t="str"><v>SREELAL R</v></cell><cell r="D25" t="str"><v>Sr. Territory Sales Executive</v></cell><cell r="E25" t="str"><v>S2</v></cell><cell r="F25" t="str"><v>Kollam</v></cell><cell r="G25" t="str"><v>Modern Trade</v></cell></row><row r="26"><cell r="B26"><v>1676</v></cell><cell r="C26" t="str"><v>SURESH KUMAR</v></cell><cell r="D26" t="str"><v>Territory Sales Manager </v></cell><cell r="E26" t="str"><v>P3</v></cell><cell r="F26" t="str"><v>TVM & kollam</v></cell><cell r="G26" t="str"><v>Bakery South</v></cell></row><row r="27"><cell r="B27"><v>1682</v></cell><cell r="C27" t="str"><v>DINESH K G</v></cell><cell r="D27" t="str"><v>Regional Sales Manager</v></cell><cell r="E27" t="str"><v>SM1</v></cell><cell r="F27" t="str"><v>Karnataka</v></cell><cell r="G27" t="str"><v>Karnataka</v></cell></row><row r="28"><cell r="B28"><v>1747</v></cell><cell r="C28" t="str"><v>RIYAS S</v></cell><cell r="D28" t="str"><v>Territory Sales Executive</v></cell><cell r="E28" t="str"><v>S1</v></cell><cell r="F28" t="str"><v>Malapuram</v></cell><cell r="G28" t="str"><v>Bulk</v></cell></row><row r="29"><cell r="B29"><v>1850</v></cell><cell r="C29" t="str"><v>PANDIRAJAN</v></cell><cell r="D29" t="str"><v> Sr.Area Sales Manager</v></cell><cell r="E29" t="str"><v>M2</v></cell><cell r="F29" t="str"><v>TamilNadu</v></cell><cell r="G29" t="str"><v>Tamilnadu</v></cell></row><row r="30"><cell r="B30"><v>2043</v></cell><cell r="C30" t="str"><v>NASIM ABDUL KARIM A M</v></cell><cell r="D30" t="str"><v>Sr. Territory Sales Executive</v></cell><cell r="E30" t="str"><v>S2</v></cell><cell r="F30" t="str"><v>TVM</v></cell><cell r="G30" t="str"><v>Bulk</v></cell></row><row r="31"><cell r="B31"><v>2204</v></cell><cell r="C31" t="str"><v>Sasidharan K.M</v></cell><cell r="D31" t="str"><v>Territory Sales Executive</v></cell><cell r="E31" t="str"><v>S1</v></cell><cell r="F31" t="str"><v>Kannur</v></cell><cell r="G31" t="str"><v>Bakery North</v></cell></row><row r="32"><cell r="B32"><v>2205</v></cell><cell r="C32" t="str"><v>BALACHANDER N</v></cell><cell r="D32" t="str"><v>Regional  Manager </v></cell><cell r="E32" t="str"><v>SM3</v></cell><cell r="F32" t="str"><v>TamilNadu</v></cell><cell r="G32" t="str"><v>Tamilnadu</v></cell></row><row r="33"><cell r="B33"><v>2370</v></cell><cell r="C33" t="str"><v>SAJAN M. SAMUEL</v></cell><cell r="D33" t="str"><v>Regional Sales Manager</v></cell><cell r="E33" t="str"><v>SM1</v></cell><cell r="F33" t="str"><v>EKM</v></cell><cell r="G33" t="str"><v>CPD South</v></cell></row><row r="34"><cell r="B34"><v>2409</v></cell><cell r="C34" t="str"><v>D. KUMAR</v></cell><cell r="D34" t="str"><v>Area Sales Manager</v></cell><cell r="E34" t="str"><v>M1</v></cell><cell r="F34" t="str"><v>Chennai</v></cell><cell r="G34" t="str"><v>Tamilnadu</v></cell></row><row r="35"><cell r="B35"><v>2410</v></cell><cell r="C35" t="str"><v>M. DURAIRAJ</v></cell><cell r="D35" t="str"><v>Sr. Territory Sales Executive</v></cell><cell r="E35" t="str"><v>S2</v></cell><cell r="F35" t="str"><v>TamilNadu</v></cell><cell r="G35" t="str"><v>Tamilnadu</v></cell></row><row r="36"><cell r="B36"><v>2506</v></cell><cell r="C36" t="str"><v>T. SUDHAKAR</v></cell><cell r="D36" t="str"><v>Territory Sales Executive</v></cell><cell r="E36" t="str"><v>S1</v></cell><cell r="F36" t="str"><v>TamilNadu</v></cell><cell r="G36" t="str"><v>Tamilnadu</v></cell></row><row r="37"><cell r="B37"><v>2568</v></cell><cell r="C37" t="str"><v>SHAHEED V.S </v></cell><cell r="D37" t="str"><v>Sr. Territory Sales Executive</v></cell><cell r="E37" t="str"><v>S2</v></cell><cell r="F37" t="str"><v>Palakkad</v></cell><cell r="G37" t="str"><v>Institution Sales</v></cell></row><row r="38"><cell r="B38"><v>2690</v></cell><cell r="C38" t="str"><v>Gireesh Kumar .A </v></cell><cell r="D38" t="str"><v>Territory Sales Executive</v></cell><cell r="E38" t="str"><v>S1</v></cell><cell r="F38" t="str"><v>Alappy</v></cell><cell r="G38" t="str"><v>Bakery South</v></cell></row><row r="39"><cell r="B39"><v>2692</v></cell><cell r="C39" t="str"><v>RIYASUDHEEN B.</v></cell><cell r="D39" t="str"><v>Territory Sales Executive</v></cell><cell r="E39" t="str"><v>S1</v></cell><cell r="F39" t="str"><v>Palakkad</v></cell><cell r="G39" t="str"><v>CPD North</v></cell></row><row r="40"><cell r="B40"><v>2693</v></cell><cell r="C40" t="str"><v>BALU V DAS</v></cell><cell r="D40" t="str"><v>Territory Sales Executive</v></cell><cell r="E40" t="str"><v>S1</v></cell><cell r="F40" t="str"><v>Kollam</v></cell><cell r="G40" t="str"><v>Bulk</v></cell></row><row r="41"><cell r="B41"><v>2719</v></cell><cell r="C41" t="str"><v>GIRISHA R</v></cell><cell r="D41" t="str"><v>Area Sales Manager</v></cell><cell r="E41" t="str"><v>P3</v></cell><cell r="F41" t="str"><v>Karnataka</v></cell><cell r="G41" t="str"><v>Karnataka</v></cell></row><row r="42"><cell r="B42"><v>2791</v></cell><cell r="C42" t="str"><v>NOBIL P T</v></cell><cell r="D42" t="str"><v>Territory Sales Executive</v></cell><cell r="E42" t="str"><v>S1</v></cell><cell r="F42" t="str"><v>Kannur & Kasargod</v></cell><cell r="G42" t="str"><v>Bulk</v></cell></row><row r="43"><cell r="B43"><v>2809</v></cell><cell r="C43" t="str"><v>VINAYA PRASAD M P</v></cell><cell r="D43" t="str"><v>Area Sales Manager</v></cell><cell r="E43" t="str"><v>M1</v></cell><cell r="F43" t="str"><v>Karnataka</v></cell><cell r="G43" t="str"><v>Karnataka</v></cell></row><row r="44"><cell r="B44"><v>2839</v></cell><cell r="C44" t="str"><v>RAJESH KUMAR R</v></cell><cell r="D44" t="str"><v>Territory Sales Executive</v></cell><cell r="E44" t="str"><v>S1</v></cell><cell r="F44" t="str"><v>Kollam</v></cell><cell r="G44" t="str"><v>CPD South</v></cell></row><row r="45"><cell r="B45"><v>2847</v></cell><cell r="C45" t="str"><v>Sudheesh kumar MK</v></cell><cell r="D45" t="str"><v>Territory Sales Executive</v></cell><cell r="E45" t="str"><v>S1</v></cell><cell r="F45" t="str"><v>Thrissur</v></cell><cell r="G45" t="str"><v>CPD South</v></cell></row><row r="46"><cell r="B46"><v>2871</v></cell><cell r="C46" t="str"><v>Mathews Devasia</v></cell><cell r="D46" t="str"><v>Territory Sales Executive</v></cell><cell r="E46" t="str"><v>S1</v></cell><cell r="F46" t="str"><v>Kottayam</v></cell><cell r="G46" t="str"><v>Bakery South</v></cell></row><row r="47"><cell r="B47"><v>2925</v></cell><cell r="C47" t="str"><v>Ajith A.G</v></cell><cell r="D47" t="str"><v>Territory Sales Manager </v></cell><cell r="E47" t="str"><v>P3</v></cell><cell r="F47" t="str"><v>TVM</v></cell><cell r="G47" t="str"><v>Bakery South</v></cell></row><row r="48"><cell r="B48"><v>3005</v></cell><cell r="C48" t="str"><v>P. Gopi</v></cell><cell r="D48" t="str"><v>Area Sales Manager</v></cell><cell r="E48" t="str"><v>M1</v></cell><cell r="F48" t="str"><v>TamilNadu</v></cell><cell r="G48" t="str"><v>Tamilnadu</v></cell></row><row r="49"><cell r="B49"><v>3006</v></cell><cell r="C49" t="str"><v>P. Senthilkumar</v></cell><cell r="D49" t="str"><v>Area Sales Manager</v></cell><cell r="E49" t="str"><v>F</v></cell><cell r="F49" t="str"><v>TamilNadu</v></cell><cell r="G49" t="str"><v>Tamilnadu</v></cell></row><row r="50"><cell r="B50"><v>3009</v></cell><cell r="C50" t="str"><v>Arulmozhi S</v></cell><cell r="D50" t="str"><v>Territory Sales Executive</v></cell><cell r="E50" t="str"><v>P2</v></cell><cell r="F50" t="str"><v>TamilNadu</v></cell><cell r="G50" t="str"><v>Tamilnadu</v></cell></row><row r="51"><cell r="B51"><v>3024</v></cell><cell r="C51" t="str"><v>Shibu Samuel</v></cell><cell r="D51" t="str"><v>Territory Sales Executive</v></cell><cell r="E51" t="str"><v>s1</v></cell><cell r="F51" t="str"><v>Kollam</v></cell><cell r="G51" t="str"><v>Institution Sales</v></cell></row><row r="52"><cell r="B52"><v>3053</v></cell><cell r="C52" t="str"><v>Sujith O.S</v></cell><cell r="D52" t="str"><v>Territory Sales Executive</v></cell><cell r="E52" t="str"><v>s1</v></cell><cell r="F52" t="str"><v>Kannur & Kasargod</v></cell><cell r="G52" t="str"><v>Institution Sales</v></cell></row><row r="53"><cell r="B53"><v>3059</v></cell><cell r="C53" t="str"><v>Ramesh.S </v></cell><cell r="D53" t="str"><v>Territory Sales Executive</v></cell><cell r="E53" t="str"><v>S1</v></cell><cell r="F53" t="str"><v>TamilNadu</v></cell><cell r="G53" t="str"><v>Tamilnadu</v></cell></row><row r="54"><cell r="B54"><v>3092</v></cell><cell r="C54" t="str"><v>Dinesh Kumar C</v></cell><cell r="D54" t="str"><v>Sr. Territory Sales Executive</v></cell><cell r="E54" t="str"><v>S2</v></cell><cell r="F54" t="str"><v>TamilNadu</v></cell><cell r="G54" t="str"><v>Tamilnadu</v></cell></row><row r="55"><cell r="B55"><v>3114</v></cell><cell r="C55" t="str"><v>Sreekanth M.S </v></cell><cell r="D55" t="str"><v>Territory Sales Executive</v></cell><cell r="E55" t="str"><v>S1</v></cell><cell r="F55" t="str"><v>EKM</v></cell><cell r="G55" t="str"><v>Bakery South</v></cell></row><row r="56"><cell r="B56"><v>3191</v></cell><cell r="C56" t="str"><v>Harshkumar </v></cell><cell r="D56" t="str"><v>Territory Sales Executive</v></cell><cell r="E56" t="str"><v>S2</v></cell><cell r="F56" t="str"><v>Aroor</v></cell><cell r="G56" t="str"><v>Bakery South</v></cell></row><row r="57"><cell r="B57"><v>3205</v></cell><cell r="C57" t="str"><v>Binoy Joseph </v></cell><cell r="D57" t="str"><v>Territory Sales Executive</v></cell><cell r="E57" t="str"><v>S1</v></cell><cell r="F57" t="str"><v>Idukki</v></cell><cell r="G57" t="str"><v>Bulk</v></cell></row><row r="58"><cell r="B58"><v>3221</v></cell><cell r="C58" t="str"><v>Thirumalai Kumaran.V </v></cell><cell r="D58" t="str"><v>Sr. Territory Sales Executive</v></cell><cell r="E58" t="str"><v>S2</v></cell><cell r="F58" t="str"><v>TamilNadu</v></cell><cell r="G58" t="str"><v>Tamilnadu</v></cell></row><row r="59"><cell r="B59"><v>3239</v></cell><cell r="C59" t="str"><v>PRABHAKARAN K V</v></cell><cell r="D59" t="str"><v>Sr. Territory Sales Executive</v></cell><cell r="E59" t="str"><v>S2</v></cell><cell r="F59" t="str"><v>Thrissur</v></cell><cell r="G59" t="str"><v>CPD South</v></cell></row><row r="60"><cell r="B60"><v>3240</v></cell><cell r="C60" t="str"><v>SHINOJ S</v></cell><cell r="D60" t="str"><v>Territory Sales Executive</v></cell><cell r="E60" t="str"><v>S1</v></cell><cell r="F60" t="str"><v>Thrissur</v></cell><cell r="G60" t="str"><v>Bakery South</v></cell></row><row r="61"><cell r="B61"><v>3265</v></cell><cell r="C61" t="str"><v>Sumesh E.G</v></cell><cell r="D61" t="str"><v>Territory Sales Executive</v></cell><cell r="E61" t="str"><v>S1</v></cell><cell r="F61" t="str"><v>Kasargod</v></cell><cell r="G61" t="str"><v>Bulk</v></cell></row><row r="62"><cell r="B62"><v>3269</v></cell><cell r="C62" t="str"><v>Dileep K</v></cell><cell r="D62" t="str"><v>Territory Sales Manager </v></cell><cell r="E62" t="str"><v>P3</v></cell><cell r="F62" t="str"><v>Thrissur</v></cell><cell r="G62" t="str"><v>Modern Trade</v></cell></row><row r="63"><cell r="B63"><v>3287</v></cell><cell r="C63" t="str"><v>Shihab.Y </v></cell><cell r="D63" t="str"><v>Territory Sales Executive</v></cell><cell r="E63" t="str"><v>s1</v></cell><cell r="F63" t="str"><v>Alappy</v></cell><cell r="G63" t="str"><v>institution Sales</v></cell></row><row r="64"><cell r="B64"><v>3321</v></cell><cell r="C64" t="str"><v>Manoj .K </v></cell><cell r="D64" t="str"><v>Territory Sales Manager </v></cell><cell r="E64" t="str"><v>P3</v></cell><cell r="F64" t="str"><v>Kannur & Kasargod</v></cell><cell r="G64" t="str"><v>CPD North</v></cell></row><row r="65"><cell r="B65"><v>3329</v></cell><cell r="C65" t="str"><v>K.Balaji.  </v></cell><cell r="D65" t="str"><v>Territory Sales Executive</v></cell><cell r="E65" t="str"><v>S1</v></cell><cell r="F65" t="str"><v>TamilNadu</v></cell><cell r="G65" t="str"><v>Tamilnadu</v></cell></row><row r="66"><cell r="B66"><v>3330</v></cell><cell r="C66" t="str"><v>SREEJITH.S.NAIR .</v></cell><cell r="D66" t="str"><v>Territory Sales Manager </v></cell><cell r="E66" t="str"><v>P3</v></cell><cell r="F66" t="str"><v>EKM</v></cell><cell r="G66" t="str"><v>CPD South</v></cell></row><row r="67"><cell r="B67"><v>3335</v></cell><cell r="C67" t="str"><v>P.K.Selvakumar </v></cell><cell r="D67" t="str"><v>Territory Sales Executive</v></cell><cell r="E67" t="str"><v>S1</v></cell><cell r="F67" t="str"><v>TamilNadu</v></cell><cell r="G67" t="str"><v>Tamilnadu</v></cell></row><row r="68"><cell r="B68"><v>3347</v></cell><cell r="C68" t="str"><v>G.Sampath </v></cell><cell r="D68" t="str"><v>Territory Sales Executive</v></cell><cell r="E68" t="str"><v>S1</v></cell><cell r="F68" t="str"><v>TamilNadu</v></cell><cell r="G68" t="str"><v>Tamilnadu</v></cell></row><row r="69"><cell r="B69"><v>3355</v></cell><cell r="C69" t="str"><v>Krishnaprasad V.S.</v></cell><cell r="D69" t="str"><v>Territory Sales Executive</v></cell><cell r="E69" t="str"><v>S1</v></cell><cell r="F69" t="str"><v>TVM</v></cell><cell r="G69" t="str"><v>CPD South</v></cell></row><row r="70"><cell r="B70"><v>3365</v></cell><cell r="C70" t="str"><v>Sayikumar M.R </v></cell><cell r="D70" t="str"><v>Territory Sales Executive</v></cell><cell r="E70" t="str"><v>S1</v></cell><cell r="F70" t="str"><v>TVM</v></cell><cell r="G70" t="str"><v>Modern Trade</v></cell></row><row r="71"><cell r="B71"><v>3378</v></cell><cell r="C71" t="str"><v>Saidalavi Koya K.V.</v></cell><cell r="D71" t="str"><v>Territory Sales Executive</v></cell><cell r="E71" t="str"><v>S1</v></cell><cell r="F71" t="str"><v>Malappuram</v></cell><cell r="G71" t="str"><v>Bakery North</v></cell></row><row r="72"><cell r="B72"><v>3384</v></cell><cell r="C72" t="str"><v>Shaji P.K</v></cell><cell r="D72" t="str"><v>Territory Sales Executive</v></cell><cell r="E72" t="str"><v>S1</v></cell><cell r="F72" t="str"><v>Calicut</v></cell><cell r="G72" t="str"><v>CPD North</v></cell></row><row r="73"><cell r="B73"><v>3395</v></cell><cell r="C73" t="str"><v>James Varkey Mandapathil </v></cell><cell r="D73" t="str"><v>Sr.Area Sales Manager</v></cell><cell r="E73" t="str"><v>M2</v></cell><cell r="F73" t="str"><v>EKM</v></cell><cell r="G73" t="str"><v>Bakery South</v></cell></row><row r="74"><cell r="B74"><v>3408</v></cell><cell r="C74" t="str"><v>Prasad P.P.</v></cell><cell r="D74" t="str"><v>Territory Sales Executive</v></cell><cell r="E74" t="str"><v>s1</v></cell><cell r="F74" t="str"><v>Thrissur</v></cell><cell r="G74" t="str"><v>Institution Sales</v></cell></row><row r="75"><cell r="B75"><v>3472</v></cell><cell r="C75" t="str"><v>Rajesh Kumar K.M </v></cell><cell r="D75" t="str"><v>Territory Sales Executive</v></cell><cell r="E75" t="str"><v>S1</v></cell><cell r="F75" t="str"><v>Alappuzha  Cake Plus</v></cell><cell r="G75" t="str"><v>Modern Trade</v></cell></row><row r="76"><cell r="B76"><v>3490</v></cell><cell r="C76" t="str"><v>Mukundan .K </v></cell><cell r="D76" t="str"><v>Area Sales Manager</v></cell><cell r="E76" t="str"><v>M1</v></cell><cell r="F76" t="str"><v>North Kerala </v></cell><cell r="G76" t="str"><v>Bakery North</v></cell></row><row r="77"><cell r="B77"><v>3539</v></cell><cell r="C77" t="str"><v>Gopakumar E.K. </v></cell><cell r="D77" t="str"><v>Territory Sales Executive</v></cell><cell r="E77" t="str"><v>S1</v></cell><cell r="F77" t="str"><v>Kottayam & Idduki</v></cell><cell r="G77" t="str"><v>Bakery South</v></cell></row><row r="78"><cell r="B78"><v>3548</v></cell><cell r="C78" t="str"><v>Akhil Rajendran </v></cell><cell r="D78" t="str"><v>Territory Sales Executive</v></cell><cell r="E78" t="str"><v>s1</v></cell><cell r="F78" t="str"><v>Idukki</v></cell><cell r="G78" t="str"><v>Bakery South</v></cell></row><row r="79"><cell r="B79"><v>3593</v></cell><cell r="C79" t="str"><v>Eldho  Mathew </v></cell><cell r="D79" t="str"><v>Territory Sales Executive</v></cell><cell r="E79" t="str"><v>S1</v></cell><cell r="F79" t="str"><v>Muvattupusha Depot </v></cell><cell r="G79" t="str"><v>Bulk</v></cell></row><row r="80"><cell r="B80"><v>3600</v></cell><cell r="C80" t="str"><v>V.Dhandapani</v></cell><cell r="D80" t="str"><v>Territory Sales Executive</v></cell><cell r="E80" t="str"><v>S1</v></cell><cell r="F80" t="str"><v>Ambur </v></cell><cell r="G80" t="str"><v>Tamilnadu</v></cell></row><row r="81"><cell r="B81"><v>3610</v></cell><cell r="C81" t="str"><v>Jaya Kumar.S </v></cell><cell r="D81" t="str"><v>Territory Sales Executive</v></cell><cell r="E81" t="str"><v>S1</v></cell><cell r="F81" t="str"><v>Kollam</v></cell><cell r="G81" t="str"><v>Bakery South</v></cell></row><row r="82"><cell r="B82"><v>3669</v></cell><cell r="C82" t="str"><v>Satyanarayana .P</v></cell><cell r="D82" t="str"><v>Sr. Territory Sales Executive</v></cell><cell r="E82" t="str"><v>S2</v></cell><cell r="F82" t="str"><v>AP</v></cell><cell r="G82" t="str"><v>AP</v></cell></row><row r="83"><cell r="B83"><v>3681</v></cell><cell r="C83" t="str"><v>Shivamurthy .T.V</v></cell><cell r="D83" t="str"><v>Territory Sales Executive</v></cell><cell r="E83" t="str"><v>S1</v></cell><cell r="F83" t="str"><v>Karnataka</v></cell><cell r="G83" t="str"><v>Karnataka</v></cell></row><row r="84"><cell r="B84"><v>3698</v></cell><cell r="C84" t="str"><v>Mohammed Jahangir Ali </v></cell><cell r="D84" t="str"><v>Territory Sales Executive</v></cell><cell r="E84" t="str"><v>S1</v></cell><cell r="F84" t="str"><v>Hyderabad </v></cell><cell r="G84" t="str"><v>AP</v></cell></row><row r="85"><cell r="B85"><v>3711</v></cell><cell r="C85" t="str"><v>Mahesha M.D.</v></cell><cell r="D85" t="str"><v>Territory Sales Executive</v></cell><cell r="E85" t="str"><v>S1</v></cell><cell r="F85" t="str"><v>Tumkur. Bangalore UPC</v></cell><cell r="G85" t="str"><v>Karnataka</v></cell></row><row r="86"><cell r="B86"><v>3718</v></cell><cell r="C86" t="str"><v>Francis Xavier</v></cell><cell r="D86" t="str"><v>Territory Sales Executive</v></cell><cell r="E86" t="str"><v>S1</v></cell><cell r="F86" t="str"><v> Theni</v></cell><cell r="G86" t="str"><v>Tamilnadu</v></cell></row><row r="87"><cell r="B87"><v>3731</v></cell><cell r="C87" t="str"><v>Kasinath .G </v></cell><cell r="D87" t="str"><v>Territory Sales Executive</v></cell><cell r="E87" t="str"><v>S1</v></cell><cell r="F87" t="str"><v>Karnataka</v></cell><cell r="G87" t="str"><v>Karnataka</v></cell></row><row r="88"><cell r="B88"><v>3733</v></cell><cell r="C88" t="str"><v>RAMESH .N </v></cell><cell r="D88" t="str"><v>Territory Sales Executive</v></cell><cell r="E88" t="str"><v>S1</v></cell><cell r="F88" t="str"><v>Mangalore</v></cell><cell r="G88" t="str"><v>Karnataka</v></cell></row><row r="89"><cell r="B89"><v>3765</v></cell><cell r="C89" t="str"><v>M.Raghu </v></cell><cell r="D89" t="str"><v>Territory Sales Executive</v></cell><cell r="E89" t="str"><v>S1</v></cell><cell r="F89" t="str"><v>Vijayawada </v></cell><cell r="G89" t="str"><v>AP</v></cell></row><row r="90"><cell r="B90"><v>3772</v></cell><cell r="C90" t="str"><v>Venkatesan .P</v></cell><cell r="D90" t="str"><v>Territory Sales Executive</v></cell><cell r="E90" t="str"><v>S2</v></cell><cell r="F90" t="str"><v> Pondy</v></cell><cell r="G90" t="str"><v>Tamilnadu</v></cell></row><row r="91"><cell r="B91"><v>3843</v></cell><cell r="C91" t="str"><v>Vishwanath Nikam </v></cell><cell r="D91" t="str"><v>Area Sales Manager</v></cell><cell r="E91" t="str"><v>M1</v></cell><cell r="F91" t="str"><v>West</v></cell><cell r="G91" t="str"><v>West</v></cell></row><row r="92"><cell r="B92"><v>3844</v></cell><cell r="C92" t="str"><v>Pravin B Khandare</v></cell><cell r="D92" t="str"><v>Territory Sales Executive</v></cell><cell r="E92" t="str"><v>F1</v></cell><cell r="F92" t="str"><v>West</v></cell><cell r="G92" t="str"><v>West</v></cell></row><row r="93"><cell r="B93"><v>3845</v></cell><cell r="C93" t="str"><v>Mujeeb Salim Khan</v></cell><cell r="D93" t="str"><v>Sr. Territory Sales Executive</v></cell><cell r="E93" t="str"><v>S2</v></cell><cell r="F93" t="str"><v>West</v></cell><cell r="G93" t="str"><v>West</v></cell></row><row r="94"><cell r="B94"><v>3853</v></cell><cell r="C94" t="str"><v>Pankaj S.Singh </v></cell><cell r="D94" t="str"><v>Regional Sales Manager</v></cell><cell r="E94" t="str"><v>SM1</v></cell><cell r="F94" t="str"><v>West</v></cell><cell r="G94" t="str"><v>West</v></cell></row><row r="95"><cell r="B95"><v>3856</v></cell><cell r="C95" t="str"><v>Santhosh Laxman Mankumbra</v></cell><cell r="D95" t="str"><v>Territory Sales Executive</v></cell><cell r="E95" t="str"><v>S1</v></cell><cell r="F95" t="str"><v>Navi Mumbai </v></cell><cell r="G95" t="str"><v>West</v></cell></row><row r="96"><cell r="B96"><v>3875</v></cell><cell r="C96" t="str"><v>Suresh R </v></cell><cell r="D96" t="str"><v>Territory Sales Executive</v></cell><cell r="E96" t="str"><v>S1</v></cell><cell r="F96" t="str"><v>Tirupur </v></cell><cell r="G96" t="str"><v>Tamilnadu</v></cell></row><row r="97"><cell r="B97"><v>3877</v></cell><cell r="C97" t="str"><v>Ratheesh .R </v></cell><cell r="D97" t="str"><v>Territory Sales Executive</v></cell><cell r="E97" t="str"><v>S1</v></cell><cell r="F97" t="str"><v> Alappuzha </v></cell><cell r="G97" t="str"><v>CPD South</v></cell></row><row r="98"><cell r="B98"><v>3889</v></cell><cell r="C98" t="str"><v>Sandip P Patil</v></cell><cell r="D98" t="str"><v>Territory Sales Executive</v></cell><cell r="E98" t="str"><v>S1</v></cell><cell r="F98" t="str"><v>West</v></cell><cell r="G98" t="str"><v>West</v></cell></row><row r="99"><cell r="B99"><v>3911</v></cell><cell r="C99" t="str"><v>Sijo A J</v></cell><cell r="D99" t="str"><v>Territory Sales Executive</v></cell><cell r="E99" t="str"><v>S1</v></cell><cell r="F99" t="str"><v> Palakkad </v></cell><cell r="G99" t="str"><v>Bulk</v></cell></row><row r="100"><cell r="B100"><v>3937</v></cell><cell r="C100" t="str"><v>Anto Kurian Karokaran</v></cell><cell r="D100" t="str"><v>Manager - Sales </v></cell><cell r="E100" t="str"><v>M2</v></cell><cell r="F100" t="str"><v>EKM</v></cell><cell r="G100" t="str"><v>Rice</v></cell></row><row r="101"><cell r="B101"><v>3945</v></cell><cell r="C101" t="str"><v>Dharmesh Nai</v></cell><cell r="D101" t="str"><v>Territory Sales Executive</v></cell><cell r="E101" t="str"><v>S1</v></cell><cell r="F101" t="str"><v>West</v></cell><cell r="G101" t="str"><v>West</v></cell></row><row r="102"><cell r="B102"><v>3974</v></cell><cell r="C102" t="str"><v>S. Veerabathiran </v></cell><cell r="D102" t="str"><v>Territory Sales Executive</v></cell><cell r="E102" t="str"><v>S2</v></cell><cell r="F102" t="str"><v> Krishnagiri</v></cell><cell r="G102" t="str"><v>Tamilnadu</v></cell></row><row r="103"><cell r="B103"><v>3991</v></cell><cell r="C103" t="str"><v>Krishna Kumar M.C </v></cell><cell r="D103" t="str"><v>Territory Sales Executive</v></cell><cell r="E103" t="str"><v>S1</v></cell><cell r="F103" t="str"><v>Thruvalla</v></cell><cell r="G103" t="str"><v>Bakery South</v></cell></row><row r="104"><cell r="B104"><v>3995</v></cell><cell r="C104" t="str"><v>Vishnu.S </v></cell><cell r="D104" t="str"><v>Territory Sales Executive</v></cell><cell r="E104" t="str"><v>S1</v></cell><cell r="F104" t="str"><v> Kollam </v></cell><cell r="G104" t="str"><v>Bakery South</v></cell></row><row r="105"><cell r="B105"><v>4008</v></cell><cell r="C105" t="str"><v> Noushad M</v></cell><cell r="D105" t="str"><v>Territory Sales Executive</v></cell><cell r="E105" t="str"><v>S1</v></cell><cell r="F105" t="str"><v>Manjery </v></cell><cell r="G105" t="str"><v>Bakery North</v></cell></row><row r="106"><cell r="B106"><v>4010</v></cell><cell r="C106" t="str"><v>Aneesh Kumar K</v></cell><cell r="D106" t="str"><v>Territory Sales Executive</v></cell><cell r="E106" t="str"><v>S1</v></cell><cell r="F106" t="str"><v>Pathanamthiitta</v></cell><cell r="G106" t="str"><v>CPD South</v></cell></row><row r="107"><cell r="B107"><v>4040</v></cell><cell r="C107" t="str"><v>Vijith .T.P.</v></cell><cell r="D107" t="str"><v>Territory Sales Executive</v></cell><cell r="E107" t="str"><v>S1</v></cell><cell r="F107" t="str"><v>Calicut</v></cell><cell r="G107" t="str"><v>CPD North</v></cell></row><row r="108"><cell r="B108"><v>4046</v></cell><cell r="C108" t="str"><v>Sanjay Govind Raut </v></cell><cell r="D108" t="str"><v>Area Sales Manager</v></cell><cell r="E108" t="str"><v>M1</v></cell><cell r="F108" t="str"><v> Mumbai </v></cell><cell r="G108" t="str"><v>West</v></cell></row><row r="109"><cell r="B109"><v>4047</v></cell><cell r="C109" t="str"><v>Sanoop.C </v></cell><cell r="D109" t="str"><v>Territory Sales Executive</v></cell><cell r="E109" t="str"><v>S1</v></cell><cell r="F109" t="str"><v>Malappuram</v></cell><cell r="G109" t="str"><v>Institution Sales</v></cell></row><row r="110"><cell r="B110"><v>4049</v></cell><cell r="C110" t="str"><v>Shijin Joseph </v></cell><cell r="D110" t="str"><v>Territory Sales Executive</v></cell><cell r="E110" t="str"><v>S1</v></cell><cell r="F110" t="str"><v>Pathanamthiitta</v></cell><cell r="G110" t="str"><v>Institution Sales</v></cell></row><row r="111"><cell r="B111"><v>4056</v></cell><cell r="C111" t="str"><v>JOMON PETER .</v></cell><cell r="D111" t="str"><v>Territory Sales Executive</v></cell><cell r="E111" t="str"><v>S1</v></cell><cell r="F111" t="str"><v>EKM</v></cell><cell r="G111" t="str"><v>CPD South</v></cell></row><row r="112"><cell r="B112"><v>4061</v></cell><cell r="C112" t="str"><v>Sreejith Mon A R</v></cell><cell r="D112" t="str"><v>Territory Sales Executive</v></cell><cell r="E112" t="str"><v>S1</v></cell><cell r="F112" t="str"><v>Kottayam</v></cell><cell r="G112" t="str"><v>Institution Sales</v></cell></row><row r="113"><cell r="B113"><v>4065</v></cell><cell r="C113" t="str"><v>RAMU.P .</v></cell><cell r="D113" t="str"><v>Territory Sales Executive</v></cell><cell r="E113" t="str"><v>S1</v></cell><cell r="F113" t="str"><v>TamilNadu</v></cell><cell r="G113" t="str"><v>Tamilnadu</v></cell></row><row r="114"><cell r="B114"><v>4066</v></cell><cell r="C114" t="str"><v>P Deepakraj</v></cell><cell r="D114" t="str"><v>Territory Sales Executive</v></cell><cell r="E114" t="str"><v>S1</v></cell><cell r="F114" t="str"><v>TamilNadu</v></cell><cell r="G114" t="str"><v>Tamilnadu</v></cell></row><row r="115"><cell r="B115"><v>4074</v></cell><cell r="C115" t="str"><v>SONU KUMAR .</v></cell><cell r="D115" t="str"><v>Territory Sales Executive</v></cell><cell r="E115" t="str"><v>S1</v></cell><cell r="F115" t="str"><v>Karnataka</v></cell><cell r="G115" t="str"><v>Karnataka</v></cell></row><row r="116"><cell r="B116"><v>4083</v></cell><cell r="C116" t="str"><v>Sushant Mandrekar</v></cell><cell r="D116" t="str"><v>Territory Sales Executive</v></cell><cell r="E116" t="str"><v>S2</v></cell><cell r="F116" t="str"><v>West</v></cell><cell r="G116" t="str"><v>West</v></cell></row><row r="117"><cell r="B117"><v>4084</v></cell><cell r="C117" t="str"><v> Prasanna gaikwad</v></cell><cell r="D117" t="str"><v>Area Sales Manager</v></cell><cell r="E117" t="str"><v>M1</v></cell><cell r="F117" t="str"><v>West</v></cell><cell r="G117" t="str"><v>West</v></cell></row><row r="118"><cell r="B118"><v>4088</v></cell><cell r="C118" t="str"><v>Lokesh E</v></cell><cell r="D118" t="str"><v>Sr. Territory Sales Executive</v></cell><cell r="E118" t="str"><v>S2</v></cell><cell r="F118" t="str"><v>Karnataka</v></cell><cell r="G118" t="str"><v>Karnataka</v></cell></row><row r="119"><cell r="B119"><v>4095</v></cell><cell r="C119" t="str"><v>Mohammed Shakir Ansari</v></cell><cell r="D119" t="str"><v>Sr. Territory Sales Executive</v></cell><cell r="E119" t="str"><v>S2</v></cell><cell r="F119" t="str"><v>West</v></cell><cell r="G119" t="str"><v>West</v></cell></row><row r="120"><cell r="B120"><v>4097</v></cell><cell r="C120" t="str"><v>Sandeep Swaroop</v></cell><cell r="D120" t="str"><v>Territory Sales Executive</v></cell><cell r="E120" t="str"><v>S1</v></cell><cell r="F120" t="str"><v>Pathanamthiitta</v></cell><cell r="G120" t="str"><v>Bulk</v></cell></row><row r="121"><cell r="B121"><v>4101</v></cell><cell r="C121" t="str"><v>Gireesh Kumar.T.G</v></cell><cell r="D121" t="str"><v>Territory Sales Executive</v></cell><cell r="E121" t="str"><v>S1</v></cell><cell r="F121" t="str"><v>Alappy</v></cell><cell r="G121" t="str"><v>Bulk</v></cell></row><row r="122"><cell r="B122"><v>4114</v></cell><cell r="C122" t="str"><v>Bhaskar.N.Bhandari</v></cell><cell r="D122" t="str"><v>Territory Sales Executive</v></cell><cell r="E122" t="str"><v>S1</v></cell><cell r="F122" t="str"><v>Udupi</v></cell><cell r="G122" t="str"><v>Karnataka</v></cell></row><row r="123"><cell r="B123"><v>4115</v></cell><cell r="C123" t="str"><v>Ashok Kumar K</v></cell><cell r="D123" t="str"><v>Territory Sales Executive</v></cell><cell r="E123" t="str"><v>S1</v></cell><cell r="F123" t="str"><v>Chennai</v></cell><cell r="G123" t="str"><v>Tamilnadu</v></cell></row><row r="124"><cell r="B124"><v>4139</v></cell><cell r="C124" t="str"><v>G.Muthukumar</v></cell><cell r="D124" t="str"><v>Territory Sales Executive</v></cell><cell r="E124" t="str"><v>S1</v></cell><cell r="F124" t="str"><v>Kumbakonam</v></cell><cell r="G124" t="str"><v>Tamilnadu</v></cell></row><row r="125"><cell r="B125"><v>4143</v></cell><cell r="C125" t="str"><v>K.Premkumar</v></cell><cell r="D125" t="str"><v>Territory Sales Executive</v></cell><cell r="E125" t="str"><v>S1</v></cell><cell r="F125" t="str"><v>Madurai</v></cell><cell r="G125" t="str"><v>Tamilnadu</v></cell></row><row r="126"><cell r="B126"><v>4147</v></cell><cell r="C126" t="str"><v>jijo.A.G</v></cell><cell r="D126" t="str"><v>Territory Sales Executive</v></cell><cell r="E126" t="str"><v>S1</v></cell><cell r="F126" t="str"><v>Palakkad</v></cell><cell r="G126" t="str"><v>Bakery North</v></cell></row><row r="127"><cell r="B127"><v>4154</v></cell><cell r="C127" t="str"><v>ChandraKumar.M</v></cell><cell r="D127" t="str"><v>Territory Sales Executive</v></cell><cell r="E127" t="str"><v>S1</v></cell><cell r="F127" t="str"><v>Mysore</v></cell><cell r="G127" t="str"><v>Karnataka</v></cell></row><row r="128"><cell r="B128"><v>4156</v></cell><cell r="C128" t="str"><v>Vibin Raj.R</v></cell><cell r="D128" t="str"><v>Territory Sales Executive</v></cell><cell r="E128" t="str"><v>S1</v></cell><cell r="F128" t="str"><v>Trivandrum</v></cell><cell r="G128" t="str"><v>institution Sales</v></cell></row><row r="129"><cell r="B129"><v>4163</v></cell><cell r="C129" t="str"><v>Vinod.S</v></cell><cell r="D129" t="str"><v>Territory Sales Executive</v></cell><cell r="E129" t="str"><v>S1</v></cell><cell r="F129" t="str"><v>TVM</v></cell><cell r="G129" t="str"><v>Modern Trade</v></cell></row><row r="130"><cell r="B130"><v>4168</v></cell><cell r="C130" t="str"><v>Jithesh Chirammal Valappil</v></cell><cell r="D130" t="str"><v>Territory Sales Executive</v></cell><cell r="E130" t="str"><v>S1</v></cell><cell r="F130" t="str"><v>Kasargod</v></cell><cell r="G130" t="str"><v>Bakery North</v></cell></row><row r="131"><cell r="B131"><v>4178</v></cell><cell r="C131" t="str"><v>Parikh Nayan Kumar Navinchandra</v></cell><cell r="D131" t="str"><v>Territory Sales Executive</v></cell><cell r="E131" t="str"><v>S1</v></cell><cell r="F131" t="str"><v>Mumbai</v></cell><cell r="G131" t="str"><v>West</v></cell></row><row r="132"><cell r="B132"><v>4183</v></cell><cell r="C132" t="str"><v>Shivanand.H.reddy</v></cell><cell r="D132" t="str"><v>Territory Sales Executive</v></cell><cell r="E132" t="str"><v>S1</v></cell><cell r="F132" t="str"><v>Gulbarga</v></cell><cell r="G132" t="str"><v>Karnataka</v></cell></row><row r="133"><cell r="B133"><v>4188</v></cell><cell r="C133" t="str"><v>Yashin Xavier.K.G</v></cell><cell r="D133" t="str"><v>Territory Sales Executive</v></cell><cell r="E133" t="str"><v>S1</v></cell><cell r="F133" t="str"><v>EKM</v></cell><cell r="G133" t="str"><v>Bulk</v></cell></row><row r="134"><cell r="B134"><v>4223</v></cell><cell r="C134" t="str"><v>V.Nancharaiah</v></cell><cell r="D134" t="str"><v>Territory Sales Executive</v></cell><cell r="E134" t="str"><v>S1</v></cell><cell r="F134" t="str"><v>Guntur</v></cell><cell r="G134" t="str"><v>AP</v></cell></row><row r="135"><cell r="B135"><v>4364</v></cell><cell r="C135" t="str"><v>Abdul Jabar</v></cell><cell r="D135" t="str"><v>Territory Sales Executive</v></cell><cell r="E135" t="str"><v>S1</v></cell><cell r="F135" t="str"><v>Kannur</v></cell><cell r="G135" t="str"><v>Modern Trade</v></cell></row><row r="136"><cell r="B136"><v>4367</v></cell><cell r="C136" t="str"><v>Jayadevan.P</v></cell><cell r="D136" t="str"><v>Key Accounts Manager</v></cell><cell r="E136" t="str"><v>M1</v></cell><cell r="F136" t="str"><v>EKM</v></cell><cell r="G136" t="str"><v>Modern Trade</v></cell></row><row r="137"><cell r="B137"><v>4368</v></cell><cell r="C137" t="str"><v>Reju Raphel</v></cell><cell r="D137" t="str"><v>Sr. Territory Sales Executive</v></cell><cell r="E137" t="str"><v>S2</v></cell><cell r="F137" t="str"><v>EKM</v></cell><cell r="G137" t="str"><v>Modern Trade</v></cell></row><row r="138"><cell r="B138"><v>4373</v></cell><cell r="C138" t="str"><v>Anoop.C</v></cell><cell r="D138" t="str"><v>Territory Sales Manager </v></cell><cell r="E138" t="str"><v>P3</v></cell><cell r="F138" t="str"><v>Calicut</v></cell><cell r="G138" t="str"><v>Modern Trade</v></cell></row><row r="139"><cell r="B139"><v>4374</v></cell><cell r="C139" t="str"><v>Muralikrishnan.A.C</v></cell><cell r="D139" t="str"><v>Territory Sales Executive</v></cell><cell r="E139" t="str"><v>S1</v></cell><cell r="F139" t="str"><v>Thrissur</v></cell><cell r="G139" t="str"><v>Bakery South</v></cell></row><row r="140"><cell r="B140"><v>4375</v></cell><cell r="C140" t="str"><v>Varghese.T.Thomas</v></cell><cell r="D140" t="str"><v>Territory Sales Executive</v></cell><cell r="E140" t="str"><v>S1</v></cell><cell r="F140" t="str"><v>Kottayam</v></cell><cell r="G140" t="str"><v>Bakery South</v></cell></row><row r="141"><cell r="B141"><v>4412</v></cell><cell r="C141" t="str"><v>Mahendra Dattaram Mhatre</v></cell><cell r="D141" t="str"><v>Territory Sales Executive</v></cell><cell r="E141" t="str"><v>S1</v></cell><cell r="F141" t="str"><v>Raigad</v></cell><cell r="G141" t="str"><v>West</v></cell></row><row r="142"><cell r="B142"><v>4425</v></cell><cell r="C142" t="str"><v>Jithu.K.S</v></cell><cell r="D142" t="str"><v>Territory Sales Executive</v></cell><cell r="E142" t="str"><v>S1</v></cell><cell r="F142" t="str"><v>Wayanad</v></cell><cell r="G142" t="str"><v>Modern Trade</v></cell></row><row r="143"><cell r="B143"><v>4428</v></cell><cell r="C143" t="str"><v>Anoop.K</v></cell><cell r="D143" t="str"><v>Territory Sales Executive</v></cell><cell r="E143" t="str"><v>S1</v></cell><cell r="F143" t="str"><v>Kollam</v></cell><cell r="G143" t="str"><v>Bakery South</v></cell></row><row r="144"><cell r="B144"><v>4432</v></cell><cell r="C144" t="str"><v>Rajkumar Ramchandra Khedekar</v></cell><cell r="D144" t="str"><v>Territory Sales Executive</v></cell><cell r="E144" t="str"><v>S1</v></cell><cell r="F144" t="str"><v>Pune</v></cell><cell r="G144" t="str"><v>West</v></cell></row><row r="145"><cell r="B145"><v>4434</v></cell><cell r="C145" t="str"><v>Kiran Savanth.S</v></cell><cell r="D145" t="str"><v>Territory Sales Executive</v></cell><cell r="E145" t="str"><v>S1</v></cell><cell r="F145" t="str"><v>Hubli</v></cell><cell r="G145" t="str"><v>Karnataka</v></cell></row><row r="146"><cell r="B146"><v>4435</v></cell><cell r="C146" t="str"><v>Somasekharan.A</v></cell><cell r="D146" t="str"><v>Sr. Territory Sales Executive</v></cell><cell r="E146" t="str"><v>S2</v></cell><cell r="F146" t="str"><v>Banglore</v></cell><cell r="G146" t="str"><v>Karnataka</v></cell></row><row r="147"><cell r="B147"><v>4437</v></cell><cell r="C147" t="str"><v>RAJITH.B .</v></cell><cell r="D147" t="str"><v>Territory Sales Executive</v></cell><cell r="E147" t="str"><v>S1</v></cell><cell r="F147" t="str"><v>Palakkad</v></cell><cell r="G147" t="str"><v>Bulk</v></cell></row><row r="148"><cell r="B148"><v>4445</v></cell><cell r="C148" t="str"><v>Vineeth Vikraman.K</v></cell><cell r="D148" t="str"><v>Territory Sales Executive</v></cell><cell r="E148" t="str"><v>S1</v></cell><cell r="F148" t="str"><v>EKM</v></cell><cell r="G148" t="str"><v>Bakery South</v></cell></row><row r="149"><cell r="B149"><v>4484</v></cell><cell r="C149" t="str"><v>Seeji.M</v></cell><cell r="D149" t="str"><v>Territory Sales Executive</v></cell><cell r="E149" t="str"><v>S1</v></cell><cell r="F149" t="str"><v>Kannur</v></cell><cell r="G149" t="str"><v>CPD North</v></cell></row><row r="150"><cell r="B150"><v>4485</v></cell><cell r="C150" t="str"><v>Nithul Madhusudhanan</v></cell><cell r="D150" t="str"><v>Territory Sales Executive</v></cell><cell r="E150" t="str"><v>S1</v></cell><cell r="F150" t="str"><v>Perumbavoor</v></cell><cell r="G150" t="str"><v>Bakery South</v></cell></row><row r="151"><cell r="B151"><v>4487</v></cell><cell r="C151" t="str"><v>Ankit Shashikant Mishra</v></cell><cell r="D151" t="str"><v>Territory Sales Executive</v></cell><cell r="E151" t="str"><v>S1</v></cell><cell r="F151" t="str"><v>West</v></cell><cell r="G151" t="str"><v>West</v></cell></row><row r="152"><cell r="B152"><v>4494</v></cell><cell r="C152" t="str"><v>Akhil.G.R</v></cell><cell r="D152" t="str"><v>Territory Sales Executive</v></cell><cell r="E152" t="str"><v>S1</v></cell><cell r="F152" t="str"><v>Pathanamthiitta</v></cell><cell r="G152" t="str"><v>Modern Trade</v></cell></row><row r="153"><cell r="B153"><v>4496</v></cell><cell r="C153" t="str"><v>Siju.P.S</v></cell><cell r="D153" t="str"><v>Territory Sales Executive</v></cell><cell r="E153" t="str"><v>S1</v></cell><cell r="F153" t="str"><v>Kottayam</v></cell><cell r="G153" t="str"><v>CPD South</v></cell></row><row r="154"><cell r="B154"><v>4497</v></cell><cell r="C154" t="str"><v>Sameer.C.P</v></cell><cell r="D154" t="str"><v>Territory Sales Executive</v></cell><cell r="E154" t="str"><v>S1</v></cell><cell r="F154" t="str"><v>Malappuram</v></cell><cell r="G154" t="str"><v>CPD North</v></cell></row><row r="155"><cell r="B155"><v>4503</v></cell><cell r="C155" t="str"><v>Bashayir Ahamed.M.S</v></cell><cell r="D155" t="str"><v>Territory Sales Executive</v></cell><cell r="E155" t="str"><v>S1</v></cell><cell r="F155" t="str"><v>Chennai</v></cell><cell r="G155" t="str"><v>Tamilnadu</v></cell></row><row r="156"><cell r="B156"><v>4528</v></cell><cell r="C156" t="str"><v>P.Balamurugan</v></cell><cell r="D156" t="str"><v>Territory Sales Executive</v></cell><cell r="E156" t="str"><v>S1</v></cell><cell r="F156" t="str"><v>Coimbatore</v></cell><cell r="G156" t="str"><v>Tamilnadu</v></cell></row><row r="157"><cell r="B157"><v>4532</v></cell><cell r="C157" t="str"><v>Vishnu Prasad.R</v></cell><cell r="D157" t="str"><v>Territory Sales Executive</v></cell><cell r="E157" t="str"><v>S1</v></cell><cell r="F157" t="str"><v>EKM</v></cell><cell r="G157" t="str"><v>Bakery South</v></cell></row><row r="158"><cell r="B158"><v>4534</v></cell><cell r="C158" t="str"><v>Ranjeet.N</v></cell><cell r="D158" t="str"><v>Territory Sales Executive</v></cell><cell r="E158" t="str"><v>S1</v></cell><cell r="F158" t="str"><v>Thiruvalla</v></cell><cell r="G158" t="str"><v>Bakery South</v></cell></row><row r="159"><cell r="B159"><v>4539</v></cell><cell r="C159" t="str"><v>Vipin.K.V</v></cell><cell r="D159" t="str"><v>Territory Sales Executive</v></cell><cell r="E159" t="str"><v>S1</v></cell><cell r="F159" t="str"><v>Ekm</v></cell><cell r="G159" t="str"><v>Bakery South</v></cell></row><row r="160"><cell r="B160"><v>4549</v></cell><cell r="C160" t="str"><v>Manikandan.C</v></cell><cell r="D160" t="str"><v>Territory Sales Executive</v></cell><cell r="E160" t="str"><v>S1</v></cell><cell r="F160" t="str"><v>Anchal</v></cell><cell r="G160" t="str"><v>Bakery South</v></cell></row><row r="161"><cell r="B161"><v>4552</v></cell><cell r="C161" t="str"><v>Feggy Thomas</v></cell><cell r="D161" t="str"><v>General  Manager-Sales</v></cell><cell r="E161" t="str"><v>E1</v></cell><cell r="F161" t="str"><v>All Kerala</v></cell><cell r="G161" t="str"><v>GM sales all kerala</v></cell></row><row r="162"><cell r="B162"><v>4553</v></cell><cell r="C162" t="str"><v>Baburajan Parakkal</v></cell><cell r="D162" t="str"><v>Territory Sales Executive</v></cell><cell r="E162" t="str"><v>S1</v></cell><cell r="F162" t="str"><v>Malappuram</v></cell><cell r="G162" t="str"><v>Bulk</v></cell></row><row r="163"><cell r="B163"><v>4554</v></cell><cell r="C163" t="str"><v>R.Suriyan</v></cell><cell r="D163" t="str"><v>Territory Sales Executive</v></cell><cell r="E163" t="str"><v>S1</v></cell><cell r="F163" t="str"><v>Namakkal</v></cell><cell r="G163" t="str"><v>Tamilnadu</v></cell></row><row r="164"><cell r="B164"><v>4558</v></cell><cell r="C164" t="str"><v>K.Paramashivan</v></cell><cell r="D164" t="str"><v>Territory Sales Executive</v></cell><cell r="E164" t="str"><v>S1</v></cell><cell r="F164" t="str"><v>Dindigal</v></cell><cell r="G164" t="str"><v>Tamilnadu</v></cell></row><row r="165"><cell r="B165"><v>4575</v></cell><cell r="C165" t="str"><v>P.Naresh</v></cell><cell r="D165" t="str"><v>Sr. Territory Sales Executive</v></cell><cell r="E165" t="str"><v>S2</v></cell><cell r="F165" t="str"><v>AP</v></cell><cell r="G165" t="str"><v>AP</v></cell></row><row r="166"><cell r="B166"><v>4576</v></cell><cell r="C166" t="str"><v>T.Amit Singh</v></cell><cell r="D166" t="str"><v>Territory Sales Executive</v></cell><cell r="E166" t="str"><v>S1</v></cell><cell r="F166" t="str"><v>AP</v></cell><cell r="G166" t="str"><v>AP</v></cell></row><row r="167"><cell r="B167"><v>4580</v></cell><cell r="C167" t="str"><v>Karthikeyan.M</v></cell><cell r="D167" t="str"><v>Territory Sales Executive</v></cell><cell r="E167" t="str"><v>S1</v></cell><cell r="F167" t="str"><v>Erode</v></cell><cell r="G167" t="str"><v>Tamilnadu</v></cell></row><row r="168"><cell r="B168"><v>4583</v></cell><cell r="C168" t="str"><v>Sujith.M</v></cell><cell r="D168" t="str"><v>Sr. Territory Sales Executive</v></cell><cell r="E168" t="str"><v>S2</v></cell><cell r="F168" t="str"><v>Calicut</v></cell><cell r="G168" t="str"><v>CPD North</v></cell></row><row r="169"><cell r="B169"><v>4881</v></cell><cell r="C169" t="str"><v>Harish Mirajkar</v></cell><cell r="D169" t="str"><v>Sr. Territory Sales Executive</v></cell><cell r="E169" t="str"><v>S2</v></cell><cell r="F169" t="str"><v>Karnataka</v></cell><cell r="G169" t="str"><v>Karnataka</v></cell></row><row r="170"><cell r="B170"><v>4882</v></cell><cell r="C170" t="str"><v>Mohan Raj.G</v></cell><cell r="D170" t="str"><v>Territory Sales Executive</v></cell><cell r="E170" t="str"><v>S1</v></cell><cell r="F170" t="str"><v>TamilNadu</v></cell><cell r="G170" t="str"><v>Tamilnadu</v></cell></row><row r="171"><cell r="B171"><v>4883</v></cell><cell r="C171" t="str"><v>M.Prasanna Kumar</v></cell><cell r="D171" t="str"><v>Territory Sales Executive</v></cell><cell r="E171" t="str"><v>S1</v></cell><cell r="F171" t="str"><v>AP</v></cell><cell r="G171" t="str"><v>AP</v></cell></row><row r="172"><cell r="B172" t="str"><v> 1335</v></cell><cell r="C172" t="str"><v>Sajeendran CG</v></cell><cell r="D172" t="str"><v>Senior Manager-Commercial</v></cell><cell r="E172" t="str"><v>SM1</v></cell><cell r="F172" t="str"><v>Thrissur</v></cell><cell r="G172" t="str"><v>Rice</v></cell></row><row r="173"><cell r="B173"><v>1667</v></cell><cell r="C173" t="str"><v>Biby Boban</v></cell><cell r="D173" t="str"><v>Territory Sales Manager </v></cell><cell r="E173" t="str"><v>M1</v></cell><cell r="F173" t="str"><v>South depot</v></cell><cell r="G173" t="str"><v>Bulk</v></cell></row><row r="174"><cell r="B174"><v>4931</v></cell><cell r="C174" t="str"><v>Rakesh Sivadas</v></cell><cell r="D174" t="str"><v>Territory Sales Manager </v></cell><cell r="E174" t="str"><v>P3</v></cell><cell r="F174" t="str"><v>Kochi</v></cell><cell r="G174" t="str"><v>Modern Trade</v></cell></row><row r="175"><cell r="B175"><v>4935</v></cell><cell r="C175" t="str"><v>M.Kishore</v></cell><cell r="D175" t="str"><v>Territory Sales Executive</v></cell><cell r="E175" t="str"><v>S1</v></cell><cell r="F175" t="str"><v>Thanjavur</v></cell><cell r="G175" t="str"><v>Tamilnadu</v></cell></row><row r="176"><cell r="B176"><v>4936</v></cell><cell r="C176" t="str"><v>Kannadasan.A</v></cell><cell r="D176" t="str"><v>Territory Sales Executive</v></cell><cell r="E176" t="str"><v>S1</v></cell><cell r="F176" t="str"><v>Chennai</v></cell><cell r="G176" t="str"><v>Tamilnadu</v></cell></row><row r="177"><cell r="B177"><v>4937</v></cell><cell r="C177" t="str"><v>Linson C L</v></cell><cell r="D177" t="str"><v>Territory Sales Executive</v></cell><cell r="E177" t="str"><v>S1</v></cell><cell r="F177" t="str"><v>Thrissur</v></cell><cell r="G177" t="str"><v>Bakery South</v></cell></row><row r="178"><cell r="B178"><v>4938</v></cell><cell r="C178" t="str"><v>Rohit B Kamath </v></cell><cell r="D178" t="str"><v>Territory Sales Executive</v></cell><cell r="E178" t="str"><v>S1</v></cell><cell r="F178" t="str"><v>Ernakulam</v></cell><cell r="G178" t="str"><v>Modern Trade</v></cell></row><row r="179"><cell r="B179"><v>4939</v></cell><cell r="C179" t="str"><v>Saneesh.P.B</v></cell><cell r="D179" t="str"><v>Territory Sales Executive</v></cell><cell r="E179" t="str"><v>S2</v></cell><cell r="F179" t="str"><v>Ernakulam</v></cell><cell r="G179" t="str"><v>CPD South</v></cell></row><row r="180"><cell r="B180"><v>4942</v></cell><cell r="C180" t="str"><v>Anshuman Singh</v></cell><cell r="D180" t="str"><v>Territory Sales Executive</v></cell><cell r="E180" t="str"><v>S1</v></cell><cell r="F180" t="str"><v>Bangalore</v></cell><cell r="G180" t="str"><v>Karnataka</v></cell></row><row r="181"><cell r="B181"><v>4947</v></cell><cell r="C181" t="str"><v>Dinu George</v></cell><cell r="D181" t="str"><v>Area Sales Manager</v></cell><cell r="E181" t="str"><v>M1</v></cell><cell r="F181" t="str"><v>Calicut</v></cell><cell r="G181" t="str"><v>CPD North</v></cell></row><row r="182"><cell r="B182"><v>4948</v></cell><cell r="C182" t="str"><v>Sirajuddin Patel</v></cell><cell r="D182" t="str"><v>Sr. Territory Sales Executive</v></cell><cell r="E182" t="str"><v>S2</v></cell><cell r="F182" t="str"><v>Hyderabad</v></cell><cell r="G182" t="str"><v>AP</v></cell></row><row r="183"><cell r="B183"><v>4949</v></cell><cell r="C183" t="str"><v>Dudhin . D</v></cell><cell r="D183" t="str"><v>Territory Sales Executive</v></cell><cell r="E183" t="str"><v>S1</v></cell><cell r="F183" t="str"><v>Pathanamthitta</v></cell><cell r="G183" t="str"><v>Institution Sales</v></cell></row></sheetData><sheetData sheetId="5"></sheetData><sheetData sheetId="6"><row r="2"><cell r="B2"><v>3261</v></cell><cell r="C2" t="str"><v>ANILKUMAR K.D</v></cell><cell r="D2" t="str"><v>Delivery Boy</v></cell><cell r="E2" t="str"><v>F2</v></cell></row><row r="2"><cell r="G2" t="str"><v>CPD</v></cell></row><row r="3"><cell r="B3"><v>4112</v></cell><cell r="C3" t="str"><v>David.A.Ollukaran</v></cell><cell r="D3" t="str"><v>Assistant - Accounts </v></cell><cell r="E3" t="str"><v>F1</v></cell></row><row r="3"><cell r="G3" t="str"><v>CPD</v></cell></row><row r="4"><cell r="B4"><v>3671</v></cell><cell r="C4" t="str"><v>HARIHARAN.S </v></cell><cell r="D4" t="str"><v>Executive - Logistics</v></cell><cell r="E4" t="str"><v>P1</v></cell></row><row r="4"><cell r="G4" t="str"><v>Tamilnadu</v></cell></row><row r="5"><cell r="B5"><v>642</v></cell><cell r="C5" t="str"><v>JISHA.M.V</v></cell><cell r="D5" t="str"><v>Executive - Sales Coordination</v></cell><cell r="E5" t="str"><v>S2</v></cell></row><row r="5"><cell r="G5" t="str"><v>CPD</v></cell></row><row r="6"><cell r="B6"><v>4050</v></cell><cell r="C6" t="str"><v>Manu Thomas </v></cell><cell r="D6" t="str"><v>Executive - Logistics </v></cell><cell r="E6" t="str"><v>P1</v></cell></row><row r="6"><cell r="G6" t="str"><v>Bangalore</v></cell></row><row r="7"><cell r="B7"><v>25</v></cell><cell r="C7" t="str"><v>P K Beena</v></cell><cell r="D7" t="str"><v>Assistant Manager - Depots & Bulk</v></cell><cell r="E7" t="str"><v>P3</v></cell></row><row r="7"><cell r="G7" t="str"><v>Bulk </v></cell></row><row r="8"><cell r="B8"><v>1812</v></cell><cell r="C8" t="str"><v>Pradeepa.K.S</v></cell><cell r="D8" t="str"><v>Executive - Sales Coordination</v></cell><cell r="E8" t="str"><v>P1</v></cell></row><row r="8"><cell r="G8" t="str"><v>Accounts</v></cell></row><row r="9"><cell r="B9"><v>1829</v></cell><cell r="C9" t="str"><v>Sajeev T</v></cell><cell r="D9" t="str"><v>Assistant - Accounts</v></cell><cell r="E9" t="str"><v>F2</v></cell></row><row r="9"><cell r="G9" t="str"><v>CPD</v></cell></row><row r="10"><cell r="B10"><v>3312</v></cell><cell r="C10" t="str"><v>Sandeep P.V.</v></cell><cell r="D10" t="str"><v>Jr.Executive - Accounts</v></cell><cell r="E10" t="str"><v>P1</v></cell></row><row r="10"><cell r="G10" t="str"><v>CPD</v></cell></row><row r="11"><cell r="B11"><v>758</v></cell><cell r="C11" t="str"><v>Sonia Jagadeesh</v></cell><cell r="D11" t="str"><v>Executive - Sales Coordination</v></cell><cell r="E11" t="str"><v>P1</v></cell></row><row r="11"><cell r="G11" t="str"><v>Agro Sales</v></cell></row><row r="12"><cell r="B12"><v>1068</v></cell><cell r="C12" t="str"><v>Soumya K S</v></cell><cell r="D12" t="str"><v>Sales Co ordinator-Depots</v></cell><cell r="E12" t="str"><v>S2</v></cell></row><row r="12"><cell r="G12" t="str"><v>Bulk </v></cell></row><row r="13"><cell r="B13"><v>3989</v></cell><cell r="C13" t="str"><v>Sudhan K</v></cell><cell r="D13" t="str"><v>Executive-MIS</v></cell><cell r="E13" t="str"><v>P1</v></cell></row><row r="13"><cell r="G13" t="str"><v>Tamilnadu</v></cell></row><row r="14"><cell r="B14"><v>1256</v></cell><cell r="C14" t="str"><v>Unnikrishnan M</v></cell><cell r="D14" t="str"><v>Mechandiser </v></cell><cell r="E14" t="str"><v>F2</v></cell></row><row r="14"><cell r="G14" t="str"><v>Agro Sales</v></cell></row><row r="15"><cell r="B15"><v>2961</v></cell><cell r="C15" t="str"><v>Ranjith K.S</v></cell><cell r="D15" t="str"><v>Merchandiser</v></cell><cell r="E15" t="str"><v>S1</v></cell></row><row r="15"><cell r="G15" t="str"><v>CPD</v></cell></row><row r="16"><cell r="B16"><v>3245</v></cell><cell r="C16" t="str"><v>Shakeer A</v></cell><cell r="D16" t="str"><v>Merchandiser</v></cell><cell r="E16" t="str"><v>S1</v></cell></row><row r="16"><cell r="G16" t="str"><v>CPD</v></cell></row><row r="17"><cell r="B17"><v>3259</v></cell><cell r="C17" t="str"><v>JITHESH.R</v></cell><cell r="D17" t="str"><v>Vansale Representative</v></cell><cell r="E17" t="str"><v>S1</v></cell></row><row r="17"><cell r="G17" t="str"><v>CPD</v></cell></row><row r="18"><cell r="B18"><v>3299</v></cell><cell r="C18" t="str"><v>Rakesh P.R. </v></cell><cell r="D18" t="str"><v>Merchandiser </v></cell><cell r="E18" t="str"><v>S1</v></cell></row><row r="18"><cell r="G18" t="str"><v>CPD</v></cell></row><row r="19"><cell r="B19"><v>3352</v></cell><cell r="C19" t="str"><v>Sujesh .K </v></cell><cell r="D19" t="str"><v>Merchandiser</v></cell><cell r="E19" t="str"><v>S1</v></cell></row><row r="19"><cell r="G19" t="str"><v>CPD</v></cell></row><row r="20"><cell r="B20"><v>3379</v></cell><cell r="C20" t="str"><v>Sampath Kumar </v></cell><cell r="D20" t="str"><v>Sales Representative - Cake Plus</v></cell><cell r="E20" t="str"><v>S1</v></cell></row><row r="20"><cell r="G20" t="str"><v>Tamilnadu</v></cell></row><row r="21"><cell r="B21"><v>3468</v></cell><cell r="C21" t="str"><v>Gopakumar K.V.</v></cell><cell r="D21" t="str"><v>Executive - Logistics</v></cell><cell r="E21" t="str"><v>P1</v></cell></row><row r="21"><cell r="G21" t="str"><v>Bread & cakes</v></cell></row><row r="22"><cell r="B22"><v>3570</v></cell><cell r="C22" t="str"><v>Ajeesh T.P.</v></cell><cell r="D22" t="str"><v>Merchandiser </v></cell><cell r="E22" t="str"><v>F2</v></cell><cell r="F22" t="str"><v> Eranakulam</v></cell><cell r="G22" t="str"><v>CPD</v></cell></row><row r="23"><cell r="B23"><v>3620</v></cell><cell r="C23" t="str"><v>Siddappa .L </v></cell><cell r="D23" t="str"><v>Merchandiser </v></cell><cell r="E23" t="str"><v>F</v></cell><cell r="F23" t="str"><v> Bangalore </v></cell><cell r="G23" t="str"><v>Karnataka</v></cell></row><row r="24"><cell r="B24"><v>3761</v></cell><cell r="C24" t="str"><v>Murthy K.N.</v></cell><cell r="D24" t="str"><v>Merchandiser </v></cell><cell r="E24" t="str"><v>F</v></cell><cell r="F24" t="str"><v>Bangalore </v></cell><cell r="G24" t="str"><v>Karnataka</v></cell></row><row r="25"><cell r="B25"><v>3931</v></cell><cell r="C25" t="str"><v>Varghese chacko</v></cell><cell r="D25" t="str"><v>Merchandiser </v></cell><cell r="E25" t="str"><v>F2</v></cell></row><row r="25"><cell r="G25" t="str"><v>CPD</v></cell></row><row r="26"><cell r="B26"><v>3992</v></cell><cell r="C26" t="str"><v>Anil Babu </v></cell><cell r="D26" t="str"><v>Merchandiser </v></cell><cell r="E26" t="str"><v>F1</v></cell></row><row r="26"><cell r="G26" t="str"><v>CPD</v></cell></row><row r="27"><cell r="B27"><v>4052</v></cell><cell r="C27" t="str"><v>Akshay.P.M .</v></cell><cell r="D27" t="str"><v>Merchandiser</v></cell><cell r="E27" t="str"><v>F2</v></cell></row><row r="27"><cell r="G27" t="str"><v>Agro Sales</v></cell></row><row r="28"><cell r="B28"><v>4057</v></cell><cell r="C28" t="str"><v>Jismon John</v></cell><cell r="D28" t="str"><v>Merchandiser</v></cell><cell r="E28" t="str"><v>F2</v></cell></row><row r="28"><cell r="G28" t="str"><v>Agro Sales</v></cell></row><row r="29"><cell r="B29"><v>4058</v></cell><cell r="C29" t="str"><v>Mansoor M</v></cell><cell r="D29" t="str"><v>Merchandiser</v></cell><cell r="E29" t="str"><v>F2</v></cell></row><row r="29"><cell r="G29" t="str"><v>Agro Sales</v></cell></row><row r="30"><cell r="B30"><v>4060</v></cell><cell r="C30" t="str"><v>Ashkar M P</v></cell><cell r="D30" t="str"><v>Merchandiser</v></cell><cell r="E30" t="str"><v>F2</v></cell></row><row r="30"><cell r="G30" t="str"><v>Agro Sales</v></cell></row><row r="31"><cell r="B31"><v>4073</v></cell><cell r="C31" t="str"><v>Suresh.K</v></cell><cell r="D31" t="str"><v>Merchandiser</v></cell><cell r="E31" t="str"><v>F2</v></cell></row><row r="31"><cell r="G31" t="str"><v>Agro Sales</v></cell></row><row r="32"><cell r="B32"><v>4077</v></cell><cell r="C32" t="str"><v>Mithun T Mathew</v></cell><cell r="D32" t="str"><v>Merchandiser</v></cell><cell r="E32" t="str"><v>F2</v></cell></row><row r="32"><cell r="G32" t="str"><v>Agro Sales</v></cell></row><row r="33"><cell r="B33"><v>4078</v></cell><cell r="C33" t="str"><v>Muhammed Maheen A R</v></cell><cell r="D33" t="str"><v>Merchandiser</v></cell><cell r="E33" t="str"><v>F2</v></cell></row><row r="33"><cell r="G33" t="str"><v>Agro Sales</v></cell></row><row r="34"><cell r="B34"><v>4122</v></cell><cell r="C34" t="str"><v>Akhil Krishnan S</v></cell><cell r="D34" t="str"><v>Merchandiser</v></cell><cell r="E34" t="str"><v>F1</v></cell></row><row r="34"><cell r="G34" t="str"><v>Agro Sales</v></cell></row><row r="35"><cell r="B35"><v>4131</v></cell><cell r="C35" t="str"><v>Muhammad Nishad N</v></cell><cell r="D35" t="str"><v>Merchandiser</v></cell><cell r="E35" t="str"><v>F1</v></cell></row><row r="35"><cell r="G35" t="str"><v>Bulk </v></cell></row><row r="36"><cell r="B36"><v>4165</v></cell><cell r="C36" t="str"><v>Bobin.P.Joseph</v></cell><cell r="D36" t="str"><v>Merchandiser</v></cell><cell r="E36" t="str"><v>F2</v></cell><cell r="F36" t="str"><v>Kottayam</v></cell><cell r="G36" t="str"><v>Institutional Sales</v></cell></row><row r="37"><cell r="B37"><v>4187</v></cell><cell r="C37" t="str"><v>Ravikumar.R.S</v></cell><cell r="D37" t="str"><v>Jr.Executive-Logistics</v></cell><cell r="E37" t="str"><v>F2</v></cell></row><row r="37"><cell r="G37" t="str"><v>Bangalore</v></cell></row><row r="38"><cell r="B38"><v>4174</v></cell><cell r="C38" t="str"><v>Sunil Kumar.K.S</v></cell><cell r="D38" t="str"><v>Delivery Boy</v></cell><cell r="E38" t="str"><v>F1</v></cell></row><row r="38"><cell r="G38" t="str"><v>CPD</v></cell></row><row r="39"><cell r="B39"><v>4181</v></cell><cell r="C39" t="str"><v>K.Abdulla Sheriff</v></cell><cell r="D39" t="str"><v>Sales Rep.</v></cell><cell r="E39" t="str"><v>F2</v></cell><cell r="F39" t="str"><v>Madurai</v></cell><cell r="G39" t="str"><v>Tamilnadu</v></cell></row><row r="40"><cell r="B40"><v>1210</v></cell><cell r="C40" t="str"><v>Govind S Menon</v></cell><cell r="D40" t="str"><v>Sales  Coordinator</v></cell><cell r="E40" t="str"><v>M1</v></cell></row><row r="40"><cell r="G40" t="str"><v>Bulk </v></cell></row><row r="41"><cell r="B41"><v>4034</v></cell><cell r="C41" t="str"><v>Rajasekhar.K</v></cell><cell r="D41" t="str"><v> Executive - Logistics</v></cell><cell r="E41" t="str"><v>F2</v></cell></row><row r="41"><cell r="G41" t="str"><v>Bangalore</v></cell></row><row r="42"><cell r="B42"><v>3884</v></cell><cell r="C42" t="str"><v>Saiprasanna .R </v></cell><cell r="D42" t="str"><v>Executive - Logistics</v></cell><cell r="E42" t="str"><v>S1</v></cell><cell r="F42" t="str"><v> Chennai</v></cell><cell r="G42" t="str"><v>chennai</v></cell></row><row r="43"><cell r="B43"><v>4055</v></cell><cell r="C43" t="str"><v>Francis P</v></cell><cell r="D43" t="str"><v>Executive - Accounts</v></cell><cell r="E43" t="str"><v>P1</v></cell><cell r="F43" t="str"><v>Bangalore Depot</v></cell><cell r="G43" t="str"><v>Bangalore</v></cell></row><row r="44"><cell r="B44"><v>4235</v></cell><cell r="C44" t="str"><v>Sunil.R.Singh</v></cell><cell r="D44" t="str"><v>Vansale Representative</v></cell><cell r="E44" t="str"><v>F2</v></cell></row><row r="44"><cell r="G44" t="str"><v>Mumbai</v></cell></row><row r="45"><cell r="B45"><v>4369</v></cell><cell r="C45" t="str"><v>Sreehari.T.V</v></cell><cell r="D45" t="str"><v>Executive -MIS</v></cell><cell r="E45" t="str"><v>F2</v></cell><cell r="F45" t="str"><v>Thrissur</v></cell><cell r="G45" t="str"><v>Modern Trade</v></cell></row><row r="46"><cell r="B46"><v>4438</v></cell><cell r="C46" t="str"><v>Vishnu.M.T</v></cell><cell r="D46" t="str"><v>Delivery Boy</v></cell><cell r="E46" t="str"><v>F1</v></cell></row><row r="46"><cell r="G46" t="str"><v>CPD</v></cell></row><row r="47"><cell r="B47"><v>4442</v></cell><cell r="C47" t="str"><v>V.Dasharath</v></cell><cell r="D47" t="str"><v>Mechandiser </v></cell><cell r="E47" t="str"><v>F1</v></cell></row><row r="47"><cell r="G47" t="str"><v>Modern Trade</v></cell></row><row r="48"><cell r="B48"><v>3823</v></cell><cell r="C48" t="str"><v>Maneesh Anil Pandey</v></cell><cell r="D48" t="str"><v>Jr.Executive - Logistics</v></cell><cell r="E48" t="str"><v>P1</v></cell></row><row r="48"><cell r="G48" t="str"><v>Bread & cakes</v></cell></row><row r="49"><cell r="B49"><v>4498</v></cell><cell r="C49" t="str"><v>R.Rajkumar</v></cell><cell r="D49" t="str"><v>Executive-Logistics</v></cell><cell r="E49" t="str"><v>F2</v></cell><cell r="F49" t="str"><v> Madurai </v></cell><cell r="G49" t="str"><v>Tamilnadu</v></cell></row><row r="50"><cell r="B50"><v>4502</v></cell><cell r="C50" t="str"><v>Robin.C.Mathew</v></cell><cell r="D50" t="str"><v>Executive-MIS</v></cell><cell r="E50" t="str"><v>P1</v></cell></row><row r="50"><cell r="G50" t="str"><v>Bangalore</v></cell></row><row r="51"><cell r="B51"><v>4486</v></cell><cell r="C51" t="str"><v>Shafil.K.R</v></cell><cell r="D51" t="str"><v>Sales Rep</v></cell><cell r="E51" t="str"><v>F2</v></cell></row><row r="51"><cell r="G51" t="str"><v>Bulk </v></cell></row><row r="52"><cell r="B52"><v>4499</v></cell><cell r="C52" t="str"><v>Srikanth.</v></cell><cell r="D52" t="str"><v>Merchandiser</v></cell><cell r="E52" t="str"><v>F1</v></cell></row><row r="52"><cell r="G52" t="str"><v>Karnataka</v></cell></row><row r="53"><cell r="B53"><v>4531</v></cell><cell r="C53" t="str"><v>Vidya Vijay More</v></cell><cell r="D53" t="str"><v>Merchandiser</v></cell><cell r="E53" t="str"><v>F2</v></cell></row><row r="53"><cell r="G53" t="str"><v>Mumbai</v></cell></row><row r="54"><cell r="B54"><v>4540</v></cell><cell r="C54" t="str"><v>Sonali.V.Sonavane</v></cell><cell r="D54" t="str"><v>Merchandiser</v></cell><cell r="E54" t="str"><v>F2</v></cell></row><row r="54"><cell r="G54" t="str"><v>Modern Trade</v></cell></row><row r="55"><cell r="B55"><v>4541</v></cell><cell r="C55" t="str"><v>D.Siva Chandra Prasad</v></cell><cell r="D55" t="str"><v>Merchandiser</v></cell><cell r="E55" t="str"><v>F1</v></cell></row><row r="55"><cell r="G55" t="str"><v>Modern Trade</v></cell></row><row r="56"><cell r="B56"><v>4538</v></cell><cell r="C56" t="str"><v>B.Swarna</v></cell><cell r="D56" t="str"><v>Merchandiser</v></cell><cell r="E56" t="str"><v>F1</v></cell></row><row r="56"><cell r="G56" t="str"><v>Modern Trade</v></cell></row><row r="57"><cell r="B57"><v>3775</v></cell><cell r="C57" t="str"><v>Deepa M.M</v></cell><cell r="D57" t="str"><v>Asst CRM</v></cell><cell r="E57" t="str"><v>F2</v></cell></row><row r="57"><cell r="G57" t="str"><v>CRM</v></cell></row><row r="58"><cell r="B58"><v>1470</v></cell><cell r="C58" t="str"><v>SHEEJA.N.T</v></cell><cell r="D58" t="str"><v>Sr Asst CRM</v></cell><cell r="E58" t="str"><v>F2</v></cell></row><row r="58"><cell r="G58" t="str"><v>CRM</v></cell></row><row r="59"><cell r="B59"><v>2040</v></cell><cell r="C59" t="str"><v>Gayathri.M</v></cell><cell r="D59" t="str"><v>Asst CRM</v></cell><cell r="E59" t="str"><v>F2</v></cell></row><row r="59"><cell r="G59" t="str"><v>CRM</v></cell></row><row r="60"><cell r="B60"><v>4560</v></cell><cell r="C60" t="str"><v>Bini Sijo</v></cell><cell r="D60" t="str"><v>Sales Coordinator</v></cell><cell r="E60" t="str"><v>F2</v></cell></row><row r="60"><cell r="G60" t="str"><v>Institutional Sales</v></cell></row><row r="61"><cell r="B61"><v>4562</v></cell><cell r="C61" t="str"><v>Renjith.P.V</v></cell><cell r="D61" t="str"><v>Executive-Accounts</v></cell><cell r="E61" t="str"><v>P1</v></cell></row><row r="61"><cell r="G61" t="str"><v>Accounts</v></cell></row><row r="62"><cell r="B62"><v>3343</v></cell><cell r="C62" t="str"><v>Mithun K.Nair </v></cell><cell r="D62" t="str"><v>Executive - Accounts</v></cell><cell r="E62" t="str"><v>P2</v></cell></row><row r="62"><cell r="G62" t="str"><v>Accounts</v></cell></row><row r="63"><cell r="B63"><v>4585</v></cell><cell r="C63" t="str"><v>Ajith.A</v></cell><cell r="D63" t="str"><v>Assistant-Accounts</v></cell><cell r="E63" t="str"><v>F1</v></cell></row><row r="63"><cell r="G63" t="str"><v>Accounts</v></cell></row><row r="64"><cell r="B64"><v>4555</v></cell><cell r="C64" t="str"><v>Ajeesh.K.R</v></cell><cell r="D64" t="str"><v>Executive -MIS & Sales Admin</v></cell><cell r="E64" t="str"><v>P1</v></cell><cell r="F64" t="str"><v>EKM</v></cell><cell r="G64" t="str"><v>MIS Bakery South</v></cell></row><row r="65"><cell r="B65"><v>4579</v></cell><cell r="C65" t="str"><v>Sijimon.R</v></cell><cell r="D65" t="str"><v>Merchandiser</v></cell><cell r="E65" t="str"><v>F1</v></cell></row><row r="65"><cell r="G65" t="str"><v>Institutional Sales</v></cell></row><row r="66"><cell r="B66"><v>3189</v></cell><cell r="C66" t="str"><v>Sudheer K.V </v></cell><cell r="D66" t="str"><v>Merchandiser</v></cell><cell r="E66" t="str"><v>F2</v></cell><cell r="F66" t="str"><v>EKM</v></cell><cell r="G66" t="str"><v>Bakery South</v></cell></row><row r="67"><cell r="B67"><v>2249</v></cell><cell r="C67" t="str"><v>PRADEEP B S</v></cell><cell r="D67" t="str"><v>Merchandiser</v></cell><cell r="E67" t="str"><v>S1</v></cell></row><row r="67"><cell r="G67" t="str"><v>Rice</v></cell></row><row r="68"><cell r="B68"><v>3238</v></cell><cell r="C68" t="str"><v>SANDEEP P G</v></cell><cell r="D68" t="str"><v>Delivery Boy</v></cell><cell r="E68" t="str"><v>F2</v></cell></row><row r="68"><cell r="G68" t="str"><v>Rice</v></cell></row><row r="69"><cell r="B69"><v>3964</v></cell><cell r="C69" t="str"><v>Sinil Raj T.R </v></cell><cell r="D69" t="str"><v>Sales Representative </v></cell><cell r="E69" t="str"><v>F2</v></cell></row><row r="69"><cell r="G69" t="str"><v>Rice</v></cell></row><row r="70"><cell r="B70"><v>3190</v></cell><cell r="C70" t="str"><v>Santhosh Kumar .K  </v></cell><cell r="D70" t="str"><v>Merchandiser</v></cell><cell r="E70" t="str"><v>F2</v></cell><cell r="F70" t="str"><v>EKM</v></cell><cell r="G70" t="str"><v>Bakery South</v></cell></row><row r="71"><cell r="B71"><v>1526</v></cell><cell r="C71" t="str"><v>Sunil Kumar N.P.</v></cell><cell r="D71" t="str"><v>Merchandiser</v></cell><cell r="E71" t="str"><v>F2</v></cell><cell r="F71" t="str"><v>Calicut</v></cell><cell r="G71" t="str"><v>Bakery North</v></cell></row><row r="72"><cell r="B72"><v>4950</v></cell><cell r="C72" t="str"><v>Rathees Mon.K.M</v></cell><cell r="D72" t="str"><v>Merchandiser</v></cell><cell r="E72" t="str"><v>F1</v></cell></row><row r="72"><cell r="G72" t="str"><v>Institutional Sales</v></cell></row></sheetData><sheetData sheetId="7"></sheetData><sheetData sheetId="8"><row r="2"><cell r="B2"><v>867</v></cell><cell r="C2" t="str"><v>SUMA RAJAN</v></cell><cell r="D2" t="str"><v>Depot In-Charge - Cherthala</v></cell><cell r="E2" t="str"><v>S2</v></cell><cell r="F2" t="str"><v>Bulk </v></cell></row><row r="3"><cell r="B3"><v>879</v></cell><cell r="C3" t="str"><v>SWAPNA S PILLAI</v></cell><cell r="D3" t="str"><v>Depot In-Charge</v></cell><cell r="E3" t="str"><v>S1</v></cell><cell r="F3" t="str"><v>Bulk </v></cell></row><row r="4"><cell r="B4"><v>2118</v></cell><cell r="C4" t="str"><v>HARIKUMAR S</v></cell><cell r="D4" t="str"><v>Van Sales Representative</v></cell><cell r="E4" t="str"><v>S1</v></cell><cell r="F4" t="str"><v>CPD</v></cell></row><row r="5"><cell r="B5"><v>2195</v></cell><cell r="C5" t="str"><v>NIKESH V.M.</v></cell><cell r="D5" t="str"><v>Branch Assistant - Thrissur Depot</v></cell><cell r="E5" t="str"><v>F2</v></cell><cell r="F5" t="str"><v>Bulk </v></cell></row><row r="6"><cell r="B6"><v>2545</v></cell><cell r="C6" t="str"><v>BALAKRISHNAN NAIR G.</v></cell><cell r="D6" t="str"><v>Depot In-Charge - Attingal</v></cell><cell r="E6" t="str"><v>F2</v></cell><cell r="F6" t="str"><v>Bulk </v></cell></row><row r="7"><cell r="B7"><v>2679</v></cell><cell r="C7" t="str"><v>SREEDEVI S.K.</v></cell><cell r="D7" t="str"><v>Depot In-Charge - Muvattupuzha</v></cell><cell r="E7" t="str"><v>F2</v></cell><cell r="F7" t="str"><v>Bulk </v></cell></row><row r="8"><cell r="B8"><v>3244</v></cell><cell r="C8" t="str"><v>GIRISH P V</v></cell><cell r="D8" t="str"><v>Vansale Representative</v></cell><cell r="E8" t="str"><v>s1</v></cell><cell r="F8" t="str"><v>CPD</v></cell></row><row r="9"><cell r="B9"><v>3249</v></cell><cell r="C9" t="str"><v>SHAJI.DAMODARAN .</v></cell><cell r="D9" t="str"><v>Delivery boy</v></cell><cell r="E9" t="str"><v>S1</v></cell><cell r="F9" t="str"><v>CPD</v></cell></row><row r="10"><cell r="B10"><v>3251</v></cell><cell r="C10" t="str"><v>ASHARAF ALI K</v></cell><cell r="D10" t="str"><v>Delivery Boy</v></cell><cell r="E10" t="str"><v>S1</v></cell><cell r="F10" t="str"><v>CPD</v></cell></row><row r="11"><cell r="B11"><v>3252</v></cell><cell r="C11" t="str"><v>DILEEP KUMAR N</v></cell><cell r="D11" t="str"><v>Vansale Representative</v></cell><cell r="E11" t="str"><v>S1</v></cell><cell r="F11" t="str"><v>CPD</v></cell></row><row r="12"><cell r="B12"><v>3253</v></cell><cell r="C12" t="str"><v>NAHAS F</v></cell><cell r="D12" t="str"><v>Vansale Representative</v></cell><cell r="E12" t="str"><v>S1</v></cell><cell r="F12" t="str"><v>CPD</v></cell></row><row r="13"><cell r="B13"><v>3278</v></cell><cell r="C13" t="str"><v>Ramesh Kumar M.R </v></cell><cell r="D13" t="str"><v>Vansale Representative</v></cell><cell r="E13" t="str"><v>S1</v></cell><cell r="F13" t="str"><v>CPD</v></cell></row><row r="14"><cell r="B14"><v>3280</v></cell><cell r="C14" t="str"><v>Dhananjayan V.K</v></cell><cell r="D14" t="str"><v>Assistant - Accounts</v></cell><cell r="E14" t="str"><v>F2</v></cell><cell r="F14" t="str"><v>CPD</v></cell></row><row r="15"><cell r="B15"><v>3281</v></cell><cell r="C15" t="str"><v>Castro Joseph .J</v></cell><cell r="D15" t="str"><v>Delivery Boy</v></cell><cell r="E15" t="str"><v>S1</v></cell><cell r="F15" t="str"><v>CPD</v></cell></row><row r="16"><cell r="B16"><v>3284</v></cell><cell r="C16" t="str"><v>Nisam .F </v></cell><cell r="D16" t="str"><v>Delivery Boy</v></cell><cell r="E16" t="str"><v>F2</v></cell><cell r="F16" t="str"><v>CPD</v></cell></row><row r="17"><cell r="B17"><v>3292</v></cell><cell r="C17" t="str"><v>VISHNU KUMAR.M .</v></cell><cell r="D17" t="str"><v>Delivery Boy</v></cell><cell r="E17" t="str"><v>S1</v></cell><cell r="F17" t="str"><v>CPD</v></cell></row><row r="18"><cell r="B18"><v>3322</v></cell><cell r="C18" t="str"><v>SUMESH.K.M .</v></cell><cell r="D18" t="str"><v>Delivery Boy</v></cell><cell r="E18" t="str"><v>S1</v></cell><cell r="F18" t="str"><v>CPD</v></cell></row><row r="19"><cell r="B19"><v>3324</v></cell><cell r="C19" t="str"><v>Sunil Kumar E.V.</v></cell><cell r="D19" t="str"><v>Delivery Boy</v></cell><cell r="E19" t="str"><v>S1</v></cell><cell r="F19" t="str"><v>CPD</v></cell></row><row r="20"><cell r="B20"><v>3358</v></cell><cell r="C20" t="str"><v>Vinod Kumar .S</v></cell><cell r="D20" t="str"><v>Van Sales Representative</v></cell><cell r="E20" t="str"><v>s1</v></cell><cell r="F20" t="str"><v>CPD</v></cell></row><row r="21"><cell r="B21"><v>3364</v></cell><cell r="C21" t="str"><v>Manmadhan Pillai N.C </v></cell><cell r="D21" t="str"><v>Delivery Boy</v></cell><cell r="E21" t="str"><v>S1</v></cell><cell r="F21" t="str"><v>CPD</v></cell></row><row r="22"><cell r="B22"><v>3409</v></cell><cell r="C22" t="str"><v>Ansar .B </v></cell><cell r="D22" t="str"><v>Sales Man</v></cell><cell r="E22" t="str"><v>S1</v></cell><cell r="F22" t="str"><v>Bulk </v></cell></row><row r="23"><cell r="B23"><v>3452</v></cell><cell r="C23" t="str"><v>Vinod T.N.</v></cell><cell r="D23" t="str"><v>Delivery Boy – Thrissur</v></cell><cell r="E23" t="str"><v>F2</v></cell><cell r="F23" t="str"><v>CPD</v></cell></row><row r="24"><cell r="B24"><v>3473</v></cell><cell r="C24" t="str"><v>Shoukathali .A </v></cell><cell r="D24" t="str"><v>Delivery Boy, Malappuram </v></cell><cell r="E24" t="str"><v>F2</v></cell><cell r="F24" t="str"><v>CPD</v></cell></row><row r="25"><cell r="B25"><v>3557</v></cell><cell r="C25" t="str"><v>Abdul Nazar. K </v></cell><cell r="D25" t="str"><v>Delivery boy, Malappuram </v></cell><cell r="E25" t="str"><v>F2</v></cell><cell r="F25" t="str"><v>CPD</v></cell></row><row r="26"><cell r="B26"><v>3602</v></cell><cell r="C26" t="str"><v>Jijesh .R </v></cell><cell r="D26" t="str"><v>Delivery Boy, Ottapalam </v></cell><cell r="E26" t="str"><v>F2</v></cell><cell r="F26" t="str"><v>CPD</v></cell></row><row r="27"><cell r="B27"><v>3812</v></cell><cell r="C27" t="str"><v>Vishnu.V </v></cell><cell r="D27" t="str"><v>Sales Representative, Alappuzha </v></cell><cell r="E27" t="str"><v>F2</v></cell><cell r="F27" t="str"><v>CPD</v></cell></row><row r="28"><cell r="B28"><v>3813</v></cell><cell r="C28" t="str"><v>SURESH.G .</v></cell><cell r="D28" t="str"><v>Vansale Representative</v></cell><cell r="E28" t="str"><v>F2</v></cell><cell r="F28" t="str"><v>CPD</v></cell></row><row r="29"><cell r="B29"><v>3815</v></cell><cell r="C29" t="str"><v>Siju. P</v></cell><cell r="D29" t="str"><v>Van Sales Representative , Changanassery </v></cell><cell r="E29" t="str"><v>F2</v></cell><cell r="F29" t="str"><v>CPD</v></cell></row><row r="30"><cell r="B30"><v>3904</v></cell><cell r="C30" t="str"><v>Robinson.G</v></cell><cell r="D30" t="str"><v>Sales Representative</v></cell><cell r="E30" t="str"><v>F2</v></cell><cell r="F30" t="str"><v>CPD</v></cell></row><row r="31"><cell r="B31"><v>3910</v></cell><cell r="C31" t="str"><v>Nithin Thomas</v></cell><cell r="D31" t="str"><v>Assistant - Accounts </v></cell><cell r="E31" t="str"><v>F2</v></cell><cell r="F31" t="str"><v>CPD</v></cell></row><row r="32"><cell r="B32"><v>3923</v></cell><cell r="C32" t="str"><v>Rajin A R</v></cell><cell r="D32" t="str"><v>Executive -Accounts</v></cell><cell r="E32" t="str"><v>P1</v></cell><cell r="F32" t="str"><v>Accounts</v></cell></row><row r="33"><cell r="B33"><v>3959</v></cell><cell r="C33" t="str"><v>Akbar .N </v></cell><cell r="D33" t="str"><v>Sales Representative </v></cell><cell r="E33" t="str"><v>F2</v></cell><cell r="F33" t="str"><v>CPD</v></cell></row><row r="34"><cell r="B34"><v>4028</v></cell><cell r="C34" t="str"><v>Smitha.V</v></cell><cell r="D34" t="str"><v>Depo-Assisstant </v></cell><cell r="E34" t="e"><v>#VALUE!</v></cell><cell r="F34" t="str"><v>Bulk </v></cell></row><row r="35"><cell r="B35"><v>4031</v></cell><cell r="C35" t="str"><v>Vishnu Gopakumar</v></cell><cell r="D35" t="str"><v>Delivery Boy</v></cell><cell r="E35" t="str"><v>F</v></cell><cell r="F35" t="str"><v>CPD</v></cell></row><row r="36"><cell r="B36"><v>4043</v></cell><cell r="C36" t="str"><v>Murukesh .D </v></cell><cell r="D36" t="str"><v>Assistant - Accounts </v></cell><cell r="E36" t="str"><v>F1</v></cell><cell r="F36" t="str"><v>CPD</v></cell></row><row r="37"><cell r="B37"><v>4071</v></cell><cell r="C37" t="str"><v>Venugopalan T S</v></cell><cell r="D37" t="str"><v>Delivery Boy</v></cell><cell r="E37" t="str"><v>F2</v></cell><cell r="F37" t="str"><v>CPD</v></cell></row><row r="38"><cell r="B38"><v>4079</v></cell><cell r="C38" t="str"><v>Prasad M C</v></cell><cell r="D38" t="str"><v>Sales Representative</v></cell><cell r="E38" t="str"><v>F2</v></cell><cell r="F38" t="str"><v>CPD</v></cell></row><row r="39"><cell r="B39"><v>4082</v></cell><cell r="C39" t="str"><v>Mohammed Rahees K P</v></cell><cell r="D39" t="str"><v>Assisstant-Accounts- CPS* depo</v></cell><cell r="E39" t="str"><v>F1</v></cell><cell r="F39" t="str"><v>CPD</v></cell></row><row r="40"><cell r="B40"><v>4085</v></cell><cell r="C40" t="str"><v>Dhanesh S</v></cell><cell r="D40" t="str"><v>Delivery Boy - CPS</v></cell><cell r="E40" t="str"><v>F2</v></cell><cell r="F40" t="str"><v>CPD</v></cell></row><row r="41"><cell r="B41"><v>4099</v></cell><cell r="C41" t="str"><v>Ranajith.O</v></cell><cell r="D41" t="str"><v>Sales Representative-Kannur</v></cell><cell r="E41" t="str"><v>F2</v></cell><cell r="F41" t="str"><v>CPD</v></cell></row><row r="42"><cell r="B42"><v>4113</v></cell><cell r="C42" t="str"><v>Sunil Kumar.C.S</v></cell><cell r="D42" t="str"><v>Delivery boy</v></cell><cell r="E42" t="str"><v>F2</v></cell><cell r="F42" t="str"><v>Bulk </v></cell></row><row r="43"><cell r="B43"><v>4116</v></cell><cell r="C43" t="str"><v>Renjith R</v></cell><cell r="D43" t="str"><v>Sales Representative</v></cell><cell r="E43" t="str"><v>F1</v></cell><cell r="F43" t="str"><v>Bulk </v></cell></row><row r="44"><cell r="B44"><v>4121</v></cell><cell r="C44" t="str"><v>Nithin Mathew</v></cell><cell r="D44" t="str"><v>Sales Representative</v></cell><cell r="E44" t="str"><v>F1</v></cell><cell r="F44" t="str"><v>CPD</v></cell></row><row r="45"><cell r="B45"><v>4140</v></cell><cell r="C45" t="str"><v>KUNJUMON.V</v></cell><cell r="D45" t="str"><v>Delivery Boy</v></cell><cell r="E45" t="str"><v>F1</v></cell><cell r="F45" t="str"><v>Bulk </v></cell></row><row r="46"><cell r="B46"><v>4146</v></cell><cell r="C46" t="str"><v>Ganesh Kumar.B</v></cell><cell r="D46" t="str"><v>Sales Representative-Changanassery</v></cell><cell r="E46" t="str"><v>F2</v></cell><cell r="F46" t="str"><v>Bulk </v></cell></row><row r="47"><cell r="B47"><v>4172</v></cell><cell r="C47" t="str"><v>Jishamol Joshy</v></cell><cell r="D47" t="str"><v>Depot in Charge-Kattapana</v></cell><cell r="E47" t="str"><v>F1</v></cell><cell r="F47" t="str"><v>Bulk </v></cell></row><row r="48"><cell r="B48"><v>3380</v></cell><cell r="C48" t="str"><v>Anusagar.A </v></cell><cell r="D48" t="str"><v>Assistant - Accounts</v></cell><cell r="E48" t="str"><v>F2</v></cell><cell r="F48" t="str"><v>Accounts</v></cell></row><row r="49"><cell r="B49"><v>4200</v></cell><cell r="C49" t="str"><v>Shijio Varghese</v></cell><cell r="D49" t="str"><v>Assistant- Accounts</v></cell><cell r="E49" t="str"><v>F1</v></cell><cell r="F49" t="str"><v>CPD</v></cell></row><row r="50"><cell r="B50"><v>4201</v></cell><cell r="C50" t="str"><v>Manu.M</v></cell><cell r="D50" t="str"><v>Assistant- Accounts</v></cell><cell r="E50" t="str"><v>F1</v></cell><cell r="F50" t="str"><v>CPD</v></cell></row><row r="51"><cell r="B51"><v>4213</v></cell><cell r="C51" t="str"><v>RATHEESH MOHAN</v></cell><cell r="D51" t="str"><v>Delivery boy-Idukki</v></cell><cell r="E51" t="str"><v>F1</v></cell><cell r="F51" t="str"><v>Bulk </v></cell></row><row r="52"><cell r="B52"><v>4270</v></cell><cell r="C52" t="str"><v>Athul Kumar.K.R</v></cell><cell r="D52" t="str"><v>Assistant- Accountant</v></cell><cell r="E52" t="str"><v>F1</v></cell><cell r="F52" t="str"><v>CPD</v></cell></row><row r="53"><cell r="B53"><v>4427</v></cell><cell r="C53" t="str"><v>Aneesh Kumar.G.T</v></cell><cell r="D53" t="str"><v>Delivery boy-Cherthala Depot</v></cell><cell r="E53" t="str"><v>F1</v></cell><cell r="F53" t="str"><v>Bulk </v></cell></row><row r="54"><cell r="B54"><v>4501</v></cell><cell r="C54" t="str"><v>Arjun.P.C</v></cell><cell r="D54" t="str"><v>Sales Rep-Muvattupuzha Depot</v></cell><cell r="E54" t="str"><v>F2</v></cell><cell r="F54" t="str"><v>Bulk </v></cell></row><row r="55"><cell r="B55"><v>4932</v></cell><cell r="C55" t="str"><v>Santhosh Kumar.B</v></cell><cell r="D55" t="str"><v>Delivery Boy-kollam</v></cell><cell r="E55" t="str"><v>F2</v></cell><cell r="F55" t="str"><v>Bulk </v></cell></row></sheetData><sheetData sheetId="9"></sheetData><sheetData sheetId="10"></sheetData><sheetData sheetId="11"></sheetData></sheetDataSet></externalBook></externalLink>
</file>

<file path=xl/externalLinks/externalLink3.xml><?xml version="1.0" encoding="UTF-8" standalone="yes"?>
<externalLink xmlns="http://schemas.openxmlformats.org/spreadsheetml/2006/main"><externalBook xmlns:r="http://schemas.openxmlformats.org/officeDocument/2006/relationships" r:id="rId1"><sheetNames><sheetName val="april (2)"/><sheetName val="april"/></sheetNames><sheetDataSet><sheetData sheetId="0"><row r="8"><cell r="B8"><v>555</v></cell><cell r="C8" t="str"><v>RAJEEV K.L .</v></cell><cell r="D8" t="str"><v>Senior Territory Sales Ex</v></cell><cell r="E8"><v>17946</v></cell><cell r="F8"><v>8973</v></cell><cell r="G8"><v>2991</v></cell><cell r="H8"><v>29910</v></cell><cell r="I8"><v>30</v></cell><cell r="J8"><v>17946</v></cell><cell r="K8"><v>8973</v></cell><cell r="L8"><v>2991</v></cell></row><row r="8"><cell r="N8"><v>29910</v></cell></row><row r="9"><cell r="B9"><v>557</v></cell><cell r="C9" t="str"><v>LATHA RAMESH</v></cell><cell r="D9" t="str"><v>Assistant Manager Credit</v></cell><cell r="E9"><v>20934</v></cell><cell r="F9"><v>10467</v></cell><cell r="G9"><v>3489</v></cell><cell r="H9"><v>34890</v></cell><cell r="I9"><v>30</v></cell><cell r="J9"><v>20934</v></cell><cell r="K9"><v>10467</v></cell><cell r="L9"><v>3489</v></cell></row><row r="9"><cell r="N9"><v>34890</v></cell></row><row r="10"><cell r="B10"><v>558</v></cell><cell r="C10" t="str"><v>ANJU RATHEESH</v></cell><cell r="D10" t="str"><v>Assistant Manager Logisti</v></cell><cell r="E10"><v>20532</v></cell><cell r="F10"><v>10266</v></cell><cell r="G10"><v>3422</v></cell><cell r="H10"><v>34220</v></cell><cell r="I10"><v>30</v></cell><cell r="J10"><v>20532</v></cell><cell r="K10"><v>10266</v></cell><cell r="L10"><v>3422</v></cell></row><row r="10"><cell r="N10"><v>34220</v></cell></row><row r="11"><cell r="B11"><v>566</v></cell><cell r="C11" t="str"><v>RASHOB A.R .</v></cell><cell r="D11" t="str"><v>Unit In Charge</v></cell><cell r="E11"><v>27360</v></cell><cell r="F11"><v>13680</v></cell><cell r="G11"><v>4560</v></cell><cell r="H11"><v>45600</v></cell><cell r="I11"><v>30</v></cell><cell r="J11"><v>27360</v></cell><cell r="K11"><v>13680</v></cell><cell r="L11"><v>4560</v></cell></row><row r="11"><cell r="N11"><v>45600</v></cell></row><row r="12"><cell r="B12"><v>567</v></cell><cell r="C12" t="str"><v>MANIKANDAN.T .</v></cell><cell r="D12" t="str"><v>Area Sales Manager- Insti</v></cell><cell r="E12"><v>24780</v></cell><cell r="F12"><v>12390</v></cell><cell r="G12"><v>4130</v></cell><cell r="H12"><v>41300</v></cell><cell r="I12"><v>30</v></cell><cell r="J12"><v>24780</v></cell><cell r="K12"><v>12390</v></cell><cell r="L12"><v>4130</v></cell></row><row r="12"><cell r="N12"><v>41300</v></cell></row><row r="13"><cell r="B13"><v>571</v></cell><cell r="C13" t="str"><v>JOICY JOSE</v></cell><cell r="D13" t="str"><v>Despatch Assistant</v></cell><cell r="E13"><v>10416</v></cell><cell r="F13"><v>5208</v></cell><cell r="G13"><v>1736</v></cell><cell r="H13"><v>17360</v></cell><cell r="I13"><v>30</v></cell><cell r="J13"><v>10416</v></cell><cell r="K13"><v>5208</v></cell><cell r="L13"><v>1736</v></cell></row><row r="13"><cell r="N13"><v>17360</v></cell></row><row r="14"><cell r="B14"><v>573</v></cell><cell r="C14" t="str"><v>REKHA.K MENON</v></cell><cell r="D14" t="str"><v>Assistant Manager HR</v></cell><cell r="E14"><v>19548</v></cell><cell r="F14"><v>9774</v></cell><cell r="G14"><v>3258</v></cell><cell r="H14"><v>32580</v></cell><cell r="I14"><v>30</v></cell><cell r="J14"><v>19548</v></cell><cell r="K14"><v>9774</v></cell><cell r="L14"><v>3258</v></cell></row><row r="14"><cell r="N14"><v>32580</v></cell></row><row r="15"><cell r="B15"><v>584</v></cell><cell r="C15" t="str"><v>SANDHYA R .</v></cell><cell r="D15" t="str"><v>Executive- Food Safety &</v></cell><cell r="E15"><v>11988</v></cell><cell r="F15"><v>5994</v></cell><cell r="G15"><v>1998</v></cell><cell r="H15"><v>19980</v></cell><cell r="I15"><v>30</v></cell><cell r="J15"><v>11988</v></cell><cell r="K15"><v>5994</v></cell><cell r="L15"><v>1998</v></cell></row><row r="15"><cell r="N15"><v>19980</v></cell></row><row r="16"><cell r="B16"><v>642</v></cell><cell r="C16" t="str"><v>Jisha M V</v></cell><cell r="D16" t="str"><v>Executive Sales Co-ordina</v></cell><cell r="E16"><v>13194</v></cell><cell r="F16"><v>6597</v></cell><cell r="G16"><v>2199</v></cell><cell r="H16"><v>21990</v></cell><cell r="I16"><v>30</v></cell><cell r="J16"><v>13194</v></cell><cell r="K16"><v>6597</v></cell><cell r="L16"><v>2199</v></cell></row><row r="16"><cell r="N16"><v>21990</v></cell></row><row r="17"><cell r="B17"><v>681</v></cell><cell r="C17" t="str"><v>REJINI M .</v></cell><cell r="D17" t="str"><v>Assistant Manager Account</v></cell><cell r="E17"><v>23172</v></cell><cell r="F17"><v>11586</v></cell><cell r="G17"><v>3862</v></cell><cell r="H17"><v>38620</v></cell><cell r="I17"><v>30</v></cell><cell r="J17"><v>23172</v></cell><cell r="K17"><v>11586</v></cell><cell r="L17"><v>3862</v></cell></row><row r="17"><cell r="N17"><v>38620</v></cell></row><row r="18"><cell r="B18"><v>682</v></cell><cell r="C18" t="str"><v>SATHEESH P .</v></cell><cell r="D18" t="str"><v>Manager Marketing Communi</v></cell><cell r="E18"><v>33402</v></cell><cell r="F18"><v>16701</v></cell><cell r="G18"><v>5567</v></cell><cell r="H18"><v>55670</v></cell><cell r="I18"><v>30</v></cell><cell r="J18"><v>33402</v></cell><cell r="K18"><v>16701</v></cell><cell r="L18"><v>5567</v></cell></row><row r="18"><cell r="N18"><v>55670</v></cell></row><row r="19"><cell r="B19"><v>684</v></cell><cell r="C19" t="str"><v>SAJANA SAHADEVAN P</v></cell><cell r="D19" t="str"><v>Assistant Manager Account</v></cell><cell r="E19"><v>16632</v></cell><cell r="F19"><v>8316</v></cell><cell r="G19"><v>2772</v></cell><cell r="H19"><v>27720</v></cell><cell r="I19"><v>30</v></cell><cell r="J19"><v>16632</v></cell><cell r="K19"><v>8316</v></cell><cell r="L19"><v>2772</v></cell></row><row r="19"><cell r="N19"><v>27720</v></cell></row><row r="20"><cell r="B20"><v>757</v></cell><cell r="C20" t="str"><v>NITYA JAYARAMAN .V</v></cell><cell r="D20" t="str"><v>Senior Executive -Purchas</v></cell><cell r="E20"><v>13044</v></cell><cell r="F20"><v>6522</v></cell><cell r="G20"><v>2174</v></cell><cell r="H20"><v>21740</v></cell><cell r="I20"><v>30</v></cell><cell r="J20"><v>13044</v></cell><cell r="K20"><v>6522</v></cell><cell r="L20"><v>2174</v></cell></row><row r="20"><cell r="N20"><v>21740</v></cell></row><row r="21"><cell r="B21"><v>758</v></cell><cell r="C21" t="str"><v>SONIA JAGADEESH</v></cell><cell r="D21" t="str"><v>Executive Sales Co-ordina</v></cell><cell r="E21"><v>14514</v></cell><cell r="F21"><v>7257</v></cell><cell r="G21"><v>2419</v></cell><cell r="H21"><v>24190</v></cell><cell r="I21"><v>30</v></cell><cell r="J21"><v>14514</v></cell><cell r="K21"><v>7257</v></cell><cell r="L21"><v>2419</v></cell></row><row r="21"><cell r="N21"><v>24190</v></cell></row><row r="22"><cell r="B22"><v>991</v></cell><cell r="C22" t="str"><v>MERIN SIJO</v></cell><cell r="D22" t="str"><v>Junior Executive</v></cell><cell r="E22"><v>10746</v></cell><cell r="F22"><v>5373</v></cell><cell r="G22"><v>1791</v></cell><cell r="H22"><v>17910</v></cell><cell r="I22"><v>30</v></cell><cell r="J22"><v>10746</v></cell><cell r="K22"><v>5373</v></cell><cell r="L22"><v>1791</v></cell></row><row r="22"><cell r="N22"><v>17910</v></cell></row><row r="23"><cell r="B23"><v>995</v></cell><cell r="C23" t="str"><v>ANISHYA .</v></cell><cell r="D23" t="str"><v>Executive Purchase</v></cell><cell r="E23"><v>10974</v></cell><cell r="F23"><v>5487</v></cell><cell r="G23"><v>1829</v></cell><cell r="H23"><v>18290</v></cell><cell r="I23"><v>30</v></cell><cell r="J23"><v>10974</v></cell><cell r="K23"><v>5487</v></cell><cell r="L23"><v>1829</v></cell></row><row r="23"><cell r="N23"><v>18290</v></cell></row><row r="24"><cell r="B24"><v>1006</v></cell><cell r="C24" t="str"><v>SINI RAMACHANDRAN</v></cell><cell r="D24" t="str"><v>Executive CRM</v></cell><cell r="E24"><v>11592</v></cell><cell r="F24"><v>5796</v></cell><cell r="G24"><v>1932</v></cell><cell r="H24"><v>19320</v></cell><cell r="I24"><v>30</v></cell><cell r="J24"><v>11592</v></cell><cell r="K24"><v>5796</v></cell><cell r="L24"><v>1932</v></cell></row><row r="24"><cell r="N24"><v>19320</v></cell></row><row r="25"><cell r="B25"><v>1068</v></cell><cell r="C25" t="str"><v>SOUMYA.K.S .</v></cell><cell r="D25" t="str"><v>Jr.Asst CRM</v></cell><cell r="E25"><v>10170</v></cell><cell r="F25"><v>5085</v></cell><cell r="G25"><v>1695</v></cell><cell r="H25"><v>16950</v></cell><cell r="I25"><v>30</v></cell><cell r="J25"><v>10170</v></cell><cell r="K25"><v>5085</v></cell><cell r="L25"><v>1695</v></cell></row><row r="25"><cell r="N25"><v>16950</v></cell></row><row r="26"><cell r="B26"><v>1261</v></cell><cell r="C26" t="str"><v>PINKU.P.J .</v></cell><cell r="D26" t="str"><v>Deputy Manager</v></cell><cell r="E26"><v>25434</v></cell><cell r="F26"><v>12717</v></cell><cell r="G26"><v>4239</v></cell><cell r="H26"><v>42390</v></cell><cell r="I26"><v>30</v></cell><cell r="J26"><v>25434</v></cell><cell r="K26"><v>12717</v></cell><cell r="L26"><v>4239</v></cell></row><row r="26"><cell r="N26"><v>42390</v></cell></row><row r="27"><cell r="B27"><v>1421</v></cell><cell r="C27" t="str"><v>BAIJU.K .</v></cell><cell r="D27" t="str"><v>Senior Supervisor</v></cell><cell r="E27"><v>13212</v></cell><cell r="F27"><v>6606</v></cell><cell r="G27"><v>2202</v></cell><cell r="H27"><v>22020</v></cell><cell r="I27"><v>30</v></cell><cell r="J27"><v>13212</v></cell><cell r="K27"><v>6606</v></cell><cell r="L27"><v>2202</v></cell></row><row r="27"><cell r="N27"><v>22020</v></cell></row><row r="28"><cell r="B28"><v>1470</v></cell><cell r="C28" t="str"><v>SHEEJA.N.T .</v></cell><cell r="D28" t="str"><v>Sr Assistant CRM</v></cell><cell r="E28"><v>9702</v></cell><cell r="F28"><v>4851</v></cell><cell r="G28"><v>1617</v></cell><cell r="H28"><v>16170</v></cell><cell r="I28"><v>30</v></cell><cell r="J28"><v>9702</v></cell><cell r="K28"><v>4851</v></cell><cell r="L28"><v>1617</v></cell></row><row r="28"><cell r="N28"><v>16170</v></cell></row><row r="29"><cell r="B29"><v>1578</v></cell><cell r="C29" t="str"><v>BINDHU SHYAM</v></cell><cell r="D29" t="str"><v>Manager Legal</v></cell><cell r="E29"><v>41736</v></cell><cell r="F29"><v>20868</v></cell><cell r="G29"><v>6956</v></cell><cell r="H29"><v>69560</v></cell><cell r="I29"><v>30</v></cell><cell r="J29"><v>41736</v></cell><cell r="K29"><v>20868</v></cell><cell r="L29"><v>6956</v></cell></row><row r="29"><cell r="N29"><v>69560</v></cell></row><row r="30"><cell r="B30"><v>1812</v></cell><cell r="C30" t="str"><v>PRADEEPA.K.S .</v></cell><cell r="D30" t="str"><v>Executive Sales Co-ordina</v></cell><cell r="E30"><v>13962</v></cell><cell r="F30"><v>6981</v></cell><cell r="G30"><v>2327</v></cell><cell r="H30"><v>23270</v></cell><cell r="I30"><v>30</v></cell><cell r="J30"><v>13962</v></cell><cell r="K30"><v>6981</v></cell><cell r="L30"><v>2327</v></cell></row><row r="30"><cell r="N30"><v>23270</v></cell></row><row r="31"><cell r="B31"><v>1824</v></cell><cell r="C31" t="str"><v>DHANYA.K.P .</v></cell><cell r="D31" t="str"><v>Executive - Internal Audi</v></cell><cell r="E31"><v>11304</v></cell><cell r="F31"><v>5652</v></cell><cell r="G31"><v>1884</v></cell><cell r="H31"><v>18840</v></cell><cell r="I31"><v>21</v></cell><cell r="J31"><v>7912.8</v></cell><cell r="K31"><v>3956.4</v></cell><cell r="L31"><v>1318.8</v></cell></row><row r="31"><cell r="N31"><v>13188</v></cell></row><row r="32"><cell r="B32"><v>2040</v></cell><cell r="C32" t="str"><v>GAYATHRI.M .</v></cell><cell r="D32" t="str"><v>Assistant CRM</v></cell><cell r="E32"><v>8172</v></cell><cell r="F32"><v>4086</v></cell><cell r="G32"><v>1362</v></cell><cell r="H32"><v>13620</v></cell><cell r="I32"><v>15</v></cell><cell r="J32"><v>4086</v></cell><cell r="K32"><v>2043</v></cell><cell r="L32"><v>681</v></cell></row><row r="32"><cell r="N32"><v>6810</v></cell></row><row r="33"><cell r="B33"><v>2044</v></cell><cell r="C33" t="str"><v>VINEESHA.V.V .</v></cell><cell r="D33" t="str"><v>Junior Executive HR</v></cell><cell r="E33"><v>9024</v></cell><cell r="F33"><v>4512</v></cell><cell r="G33"><v>1504</v></cell><cell r="H33"><v>15040</v></cell><cell r="I33"><v>30</v></cell><cell r="J33"><v>9024</v></cell><cell r="K33"><v>4512</v></cell><cell r="L33"><v>1504</v></cell></row><row r="33"><cell r="N33"><v>15040</v></cell></row><row r="34"><cell r="B34"><v>2133</v></cell><cell r="C34" t="str"><v>Viji.V .</v></cell><cell r="D34" t="str"><v>Assistant Manager</v></cell><cell r="E34"><v>17214</v></cell><cell r="F34"><v>8607</v></cell><cell r="G34"><v>2869</v></cell><cell r="H34"><v>28690</v></cell><cell r="I34"><v>30</v></cell><cell r="J34"><v>17214</v></cell><cell r="K34"><v>8607</v></cell><cell r="L34"><v>2869</v></cell></row><row r="34"><cell r="N34"><v>28690</v></cell></row><row r="35"><cell r="B35"><v>2338</v></cell><cell r="C35" t="str"><v>GIRIJA MANOJ .</v></cell><cell r="D35" t="str"><v>General Assistant</v></cell><cell r="E35"><v>7032</v></cell><cell r="F35"><v>3516</v></cell><cell r="G35"><v>1172</v></cell><cell r="H35"><v>11720</v></cell><cell r="I35"><v>30</v></cell><cell r="J35"><v>7032</v></cell><cell r="K35"><v>3516</v></cell><cell r="L35"><v>1172</v></cell></row><row r="35"><cell r="N35"><v>11720</v></cell></row><row r="36"><cell r="B36"><v>2733</v></cell><cell r="C36" t="str"><v>LIMSON.A.T .</v></cell><cell r="D36" t="str"><v>Fitter</v></cell><cell r="E36"><v>10692</v></cell><cell r="F36"><v>5346</v></cell><cell r="G36"><v>1782</v></cell><cell r="H36"><v>17820</v></cell><cell r="I36"><v>30</v></cell><cell r="J36"><v>10692</v></cell><cell r="K36"><v>5346</v></cell><cell r="L36"><v>1782</v></cell></row><row r="36"><cell r="N36"><v>17820</v></cell></row><row r="37"><cell r="B37"><v>2821</v></cell><cell r="C37" t="str"><v>Pushkaran.R .</v></cell><cell r="D37" t="str"><v>Supervisor Security</v></cell><cell r="E37"><v>9888</v></cell><cell r="F37"><v>4944</v></cell><cell r="G37"><v>1648</v></cell><cell r="H37"><v>16480</v></cell><cell r="I37"><v>30</v></cell><cell r="J37"><v>9888</v></cell><cell r="K37"><v>4944</v></cell><cell r="L37"><v>1648</v></cell></row><row r="37"><cell r="N37"><v>16480</v></cell></row><row r="38"><cell r="B38"><v>3023</v></cell><cell r="C38" t="str"><v>Manoj.P.M .</v></cell><cell r="D38" t="str"><v>Integration: default posi</v></cell><cell r="E38"><v>12402</v></cell><cell r="F38"><v>6201</v></cell><cell r="G38"><v>2067</v></cell><cell r="H38"><v>20670</v></cell><cell r="I38"><v>14</v></cell><cell r="J38"><v>5787.6</v></cell><cell r="K38"><v>2893.8</v></cell><cell r="L38"><v>964.6</v></cell></row><row r="38"><cell r="N38"><v>9646</v></cell></row><row r="39"><cell r="B39"><v>3024</v></cell><cell r="C39" t="str"><v>Shibu Samuel .</v></cell><cell r="D39" t="str"><v>Territory Sales Executive</v></cell><cell r="E39"><v>10716</v></cell><cell r="F39"><v>5358</v></cell><cell r="G39"><v>1786</v></cell><cell r="H39"><v>17860</v></cell><cell r="I39"><v>30</v></cell><cell r="J39"><v>10716</v></cell><cell r="K39"><v>5358</v></cell><cell r="L39"><v>1786</v></cell></row><row r="39"><cell r="N39"><v>17860</v></cell></row><row r="40"><cell r="B40"><v>3053</v></cell><cell r="C40" t="str"><v>SUJITH.O.S .</v></cell><cell r="D40" t="str"><v>Territory Sales Executive</v></cell><cell r="E40"><v>10338</v></cell><cell r="F40"><v>5169</v></cell><cell r="G40"><v>1723</v></cell><cell r="H40"><v>17230</v></cell><cell r="I40"><v>30</v></cell><cell r="J40"><v>10338</v></cell><cell r="K40"><v>5169</v></cell><cell r="L40"><v>1723</v></cell></row><row r="40"><cell r="N40"><v>17230</v></cell></row><row r="41"><cell r="B41"><v>3098</v></cell><cell r="C41" t="str"><v>VIPIN PIOUS .</v></cell><cell r="D41" t="str"><v>Jr.Executive-Legal</v></cell><cell r="E41"><v>10710</v></cell><cell r="F41"><v>5355</v></cell><cell r="G41"><v>1785</v></cell><cell r="H41"><v>17850</v></cell><cell r="I41"><v>30</v></cell><cell r="J41"><v>10710</v></cell><cell r="K41"><v>5355</v></cell><cell r="L41"><v>1785</v></cell></row><row r="41"><cell r="N41"><v>17850</v></cell></row><row r="42"><cell r="B42"><v>3128</v></cell><cell r="C42" t="str"><v>Sajita.P.P .</v></cell><cell r="D42" t="str"><v>Manager-Internal Audit</v></cell><cell r="E42"><v>41322</v></cell><cell r="F42"><v>20661</v></cell><cell r="G42"><v>6887</v></cell><cell r="H42"><v>68870</v></cell><cell r="I42"><v>30</v></cell><cell r="J42"><v>41322</v></cell><cell r="K42"><v>20661</v></cell><cell r="L42"><v>6887</v></cell></row><row r="42"><cell r="N42"><v>68870</v></cell></row><row r="43"><cell r="B43"><v>3148</v></cell><cell r="C43" t="str"><v>ANSON ANTO.C .</v></cell><cell r="D43" t="str"><v>Electrician</v></cell><cell r="E43"><v>8022</v></cell><cell r="F43"><v>4011</v></cell><cell r="G43"><v>1337</v></cell><cell r="H43"><v>13370</v></cell><cell r="I43"><v>30</v></cell><cell r="J43"><v>8022</v></cell><cell r="K43"><v>4011</v></cell><cell r="L43"><v>1337</v></cell></row><row r="43"><cell r="N43"><v>13370</v></cell></row><row r="44"><cell r="B44"><v>3149</v></cell><cell r="C44" t="str"><v>PRIYA RAMESH .</v></cell><cell r="D44" t="str"><v>Junior Executive</v></cell><cell r="E44"><v>10020</v></cell><cell r="F44"><v>5010</v></cell><cell r="G44"><v>1670</v></cell><cell r="H44"><v>16700</v></cell><cell r="I44"><v>30</v></cell><cell r="J44"><v>10020</v></cell><cell r="K44"><v>5010</v></cell><cell r="L44"><v>1670</v></cell></row><row r="44"><cell r="N44"><v>16700</v></cell></row><row r="45"><cell r="B45"><v>3169</v></cell><cell r="C45" t="str"><v>MUKESH.U .</v></cell><cell r="D45" t="str"><v>Electrician</v></cell><cell r="E45"><v>8148</v></cell><cell r="F45"><v>4074</v></cell><cell r="G45"><v>1358</v></cell><cell r="H45"><v>13580</v></cell><cell r="I45"><v>30</v></cell><cell r="J45"><v>8148</v></cell><cell r="K45"><v>4074</v></cell><cell r="L45"><v>1358</v></cell></row><row r="45"><cell r="N45"><v>13580</v></cell></row><row r="46"><cell r="B46"><v>3201</v></cell><cell r="C46" t="str"><v>Thulasidas.P.S .</v></cell><cell r="D46" t="str"><v>Executive Quality</v></cell><cell r="E46"><v>9618</v></cell><cell r="F46"><v>4809</v></cell><cell r="G46"><v>1603</v></cell><cell r="H46"><v>16030</v></cell><cell r="I46"><v>30</v></cell><cell r="J46"><v>9618</v></cell><cell r="K46"><v>4809</v></cell><cell r="L46"><v>1603</v></cell></row><row r="46"><cell r="N46"><v>16030</v></cell></row><row r="47"><cell r="B47"><v>3202</v></cell><cell r="C47" t="str"><v>Shahid.C.S .</v></cell><cell r="D47" t="str"><v>Sr.Executive Food Safety</v></cell><cell r="E47"><v>15000</v></cell><cell r="F47"><v>7500</v></cell><cell r="G47"><v>2500</v></cell><cell r="H47"><v>25000</v></cell><cell r="I47"><v>30</v></cell><cell r="J47"><v>15000</v></cell><cell r="K47"><v>7500</v></cell><cell r="L47"><v>2500</v></cell></row><row r="47"><cell r="N47"><v>25000</v></cell></row><row r="48"><cell r="B48"><v>3223</v></cell><cell r="C48" t="str"><v>Satheesh Arangath</v></cell><cell r="D48" t="str"><v>Driver</v></cell><cell r="E48"><v>12258</v></cell><cell r="F48"><v>6129</v></cell><cell r="G48"><v>2043</v></cell><cell r="H48"><v>20430</v></cell><cell r="I48"><v>30</v></cell><cell r="J48"><v>12258</v></cell><cell r="K48"><v>6129</v></cell><cell r="L48"><v>2043</v></cell></row><row r="48"><cell r="N48"><v>20430</v></cell></row><row r="49"><cell r="B49"><v>3231</v></cell><cell r="C49" t="str"><v>Joyal Thomas .</v></cell><cell r="D49" t="str"><v>Electrician</v></cell><cell r="E49"><v>9432</v></cell><cell r="F49"><v>4716</v></cell><cell r="G49"><v>1572</v></cell><cell r="H49"><v>15720</v></cell><cell r="I49"><v>30</v></cell><cell r="J49"><v>9432</v></cell><cell r="K49"><v>4716</v></cell><cell r="L49"><v>1572</v></cell></row><row r="49"><cell r="N49"><v>15720</v></cell></row><row r="50"><cell r="B50"><v>3232</v></cell><cell r="C50" t="str"><v>RAJESH.P.V .</v></cell><cell r="D50" t="str"><v>Jr.Executive IT</v></cell><cell r="E50"><v>12996</v></cell><cell r="F50"><v>6498</v></cell><cell r="G50"><v>2166</v></cell><cell r="H50"><v>21660</v></cell><cell r="I50"><v>30</v></cell><cell r="J50"><v>12996</v></cell><cell r="K50"><v>6498</v></cell><cell r="L50"><v>2166</v></cell></row><row r="50"><cell r="N50"><v>21660</v></cell></row><row r="51"><cell r="B51"><v>3233</v></cell><cell r="C51" t="str"><v>SALESH.C.RAVEENDRAN .</v></cell><cell r="D51" t="str"><v>Fitter</v></cell><cell r="E51"><v>10068</v></cell><cell r="F51"><v>5034</v></cell><cell r="G51"><v>1678</v></cell><cell r="H51"><v>16780</v></cell><cell r="I51"><v>30</v></cell><cell r="J51"><v>10068</v></cell><cell r="K51"><v>5034</v></cell><cell r="L51"><v>1678</v></cell></row><row r="51"><cell r="N51"><v>16780</v></cell></row><row r="52"><cell r="B52"><v>3236</v></cell><cell r="C52" t="str"><v>GEORGE JAYARAJ .</v></cell><cell r="D52" t="str"><v>Supervisor Security</v></cell><cell r="E52"><v>12948</v></cell><cell r="F52"><v>6474</v></cell><cell r="G52"><v>2158</v></cell><cell r="H52"><v>21580</v></cell><cell r="I52"><v>30</v></cell><cell r="J52"><v>12948</v></cell><cell r="K52"><v>6474</v></cell><cell r="L52"><v>2158</v></cell></row><row r="52"><cell r="N52"><v>21580</v></cell></row><row r="53"><cell r="B53"><v>3237</v></cell><cell r="C53" t="str"><v>SREENITH.M.V .</v></cell><cell r="D53" t="str"><v>Machine Operator</v></cell><cell r="E53"><v>9654</v></cell><cell r="F53"><v>4827</v></cell><cell r="G53"><v>1609</v></cell><cell r="H53"><v>16090</v></cell><cell r="I53"><v>30</v></cell><cell r="J53"><v>9654</v></cell><cell r="K53"><v>4827</v></cell><cell r="L53"><v>1609</v></cell></row><row r="53"><cell r="N53"><v>16090</v></cell></row><row r="54"><cell r="B54"><v>3238</v></cell><cell r="C54" t="str"><v>SANDEEP.P.G .</v></cell><cell r="D54" t="str"><v>Delivery Boy</v></cell><cell r="E54"><v>9222</v></cell><cell r="F54"><v>4611</v></cell><cell r="G54"><v>1537</v></cell><cell r="H54"><v>15370</v></cell><cell r="I54"><v>30</v></cell><cell r="J54"><v>9222</v></cell><cell r="K54"><v>4611</v></cell><cell r="L54"><v>1537</v></cell></row><row r="54"><cell r="N54"><v>15370</v></cell></row><row r="55"><cell r="B55"><v>3239</v></cell><cell r="C55" t="str"><v>PRABHAKARAN K.V .</v></cell><cell r="D55" t="str"><v>Senior Territory Sales Ex</v></cell><cell r="E55"><v>12834</v></cell><cell r="F55"><v>6417</v></cell><cell r="G55"><v>2139</v></cell><cell r="H55"><v>21390</v></cell><cell r="I55"><v>25</v></cell><cell r="J55"><v>10695</v></cell><cell r="K55"><v>5347.5</v></cell><cell r="L55"><v>1782.5</v></cell></row><row r="55"><cell r="N55"><v>17825</v></cell></row><row r="56"><cell r="B56"><v>3244</v></cell><cell r="C56" t="str"><v>GIRISH P.V .</v></cell><cell r="D56" t="str"><v>Vansale Representative</v></cell><cell r="E56"><v>12558</v></cell><cell r="F56"><v>6279</v></cell><cell r="G56"><v>2093</v></cell><cell r="H56"><v>20930</v></cell><cell r="I56"><v>30</v></cell><cell r="J56"><v>12558</v></cell><cell r="K56"><v>6279</v></cell><cell r="L56"><v>2093</v></cell></row><row r="56"><cell r="N56"><v>20930</v></cell></row><row r="57"><cell r="B57"><v>3245</v></cell><cell r="C57" t="str"><v>SHAKKEER .A .</v></cell><cell r="D57" t="str"><v>Vansale Representative</v></cell><cell r="E57"><v>11106</v></cell><cell r="F57"><v>5553</v></cell><cell r="G57"><v>1851</v></cell><cell r="H57"><v>18510</v></cell><cell r="I57"><v>30</v></cell><cell r="J57"><v>11106</v></cell><cell r="K57"><v>5553</v></cell><cell r="L57"><v>1851</v></cell></row><row r="57"><cell r="N57"><v>18510</v></cell></row><row r="58"><cell r="B58"><v>3249</v></cell><cell r="C58" t="str"><v>SHAJI.DAMODARAN .</v></cell><cell r="D58" t="str"><v>Vansale Representative</v></cell><cell r="E58"><v>10524</v></cell><cell r="F58"><v>5262</v></cell><cell r="G58"><v>1754</v></cell><cell r="H58"><v>17540</v></cell><cell r="I58"><v>30</v></cell><cell r="J58"><v>10524</v></cell><cell r="K58"><v>5262</v></cell><cell r="L58"><v>1754</v></cell></row><row r="58"><cell r="N58"><v>17540</v></cell></row><row r="59"><cell r="B59"><v>3251</v></cell><cell r="C59" t="str"><v>ASHRAF ALI. K .</v></cell><cell r="D59" t="str"><v>Delivery Boy</v></cell><cell r="E59"><v>10020</v></cell><cell r="F59"><v>5010</v></cell><cell r="G59"><v>1670</v></cell><cell r="H59"><v>16700</v></cell><cell r="I59"><v>30</v></cell><cell r="J59"><v>10020</v></cell><cell r="K59"><v>5010</v></cell><cell r="L59"><v>1670</v></cell></row><row r="59"><cell r="N59"><v>16700</v></cell></row><row r="60"><cell r="B60"><v>3252</v></cell><cell r="C60" t="str"><v>DILEEP KUMAR.N .</v></cell><cell r="D60" t="str"><v>Vansale Representative</v></cell><cell r="E60"><v>10524</v></cell><cell r="F60"><v>5262</v></cell><cell r="G60"><v>1754</v></cell><cell r="H60"><v>17540</v></cell><cell r="I60"><v>30</v></cell><cell r="J60"><v>10524</v></cell><cell r="K60"><v>5262</v></cell><cell r="L60"><v>1754</v></cell></row><row r="60"><cell r="N60"><v>17540</v></cell></row><row r="61"><cell r="B61"><v>3253</v></cell><cell r="C61" t="str"><v>NAHAS .F .</v></cell><cell r="D61" t="str"><v>Vansale Representative</v></cell><cell r="E61"><v>8844</v></cell><cell r="F61"><v>4422</v></cell><cell r="G61"><v>1474</v></cell><cell r="H61"><v>14740</v></cell><cell r="I61"><v>30</v></cell><cell r="J61"><v>8844</v></cell><cell r="K61"><v>4422</v></cell><cell r="L61"><v>1474</v></cell></row><row r="61"><cell r="N61"><v>14740</v></cell></row><row r="62"><cell r="B62"><v>3258</v></cell><cell r="C62" t="str"><v>AHEMMED KABEER.E.M .</v></cell><cell r="D62" t="str"><v>Sr.Executive Credit Contr</v></cell><cell r="E62"><v>12576</v></cell><cell r="F62"><v>6288</v></cell><cell r="G62"><v>2096</v></cell><cell r="H62"><v>20960</v></cell><cell r="I62"><v>30</v></cell><cell r="J62"><v>12576</v></cell><cell r="K62"><v>6288</v></cell><cell r="L62"><v>2096</v></cell></row><row r="62"><cell r="N62"><v>20960</v></cell></row><row r="63"><cell r="B63"><v>3259</v></cell><cell r="C63" t="str"><v>JITHESH.R .</v></cell><cell r="D63" t="str"><v>Vansale Representative</v></cell><cell r="E63"><v>8892</v></cell><cell r="F63"><v>4446</v></cell><cell r="G63"><v>1482</v></cell><cell r="H63"><v>14820</v></cell><cell r="I63"><v>30</v></cell><cell r="J63"><v>8892</v></cell><cell r="K63"><v>4446</v></cell><cell r="L63"><v>1482</v></cell></row><row r="63"><cell r="N63"><v>14820</v></cell></row><row r="64"><cell r="B64"><v>3261</v></cell><cell r="C64" t="str"><v>ANILKUMAR .K.D .</v></cell><cell r="D64" t="str"><v>Delivery Boy</v></cell><cell r="E64"><v>8586</v></cell><cell r="F64"><v>4293</v></cell><cell r="G64"><v>1431</v></cell><cell r="H64"><v>14310</v></cell><cell r="I64"><v>30</v></cell><cell r="J64"><v>8586</v></cell><cell r="K64"><v>4293</v></cell><cell r="L64"><v>1431</v></cell></row><row r="64"><cell r="N64"><v>14310</v></cell></row><row r="65"><cell r="B65"><v>3265</v></cell><cell r="C65" t="str"><v>SUMESH.E.G .</v></cell><cell r="D65" t="str"><v>Territory Sales Executive</v></cell><cell r="E65"><v>10056</v></cell><cell r="F65"><v>5028</v></cell><cell r="G65"><v>1676</v></cell><cell r="H65"><v>16760</v></cell><cell r="I65"><v>30</v></cell><cell r="J65"><v>10056</v></cell><cell r="K65"><v>5028</v></cell><cell r="L65"><v>1676</v></cell></row><row r="65"><cell r="N65"><v>16760</v></cell></row><row r="66"><cell r="B66"><v>3269</v></cell><cell r="C66" t="str"><v>DILEEP.K .</v></cell><cell r="D66" t="str"><v>Territory Sales Manager</v></cell><cell r="E66"><v>12000</v></cell><cell r="F66"><v>6000</v></cell><cell r="G66"><v>2000</v></cell><cell r="H66"><v>20000</v></cell><cell r="I66"><v>30</v></cell><cell r="J66"><v>12000</v></cell><cell r="K66"><v>6000</v></cell><cell r="L66"><v>2000</v></cell></row><row r="66"><cell r="N66"><v>20000</v></cell></row><row r="67"><cell r="B67"><v>3278</v></cell><cell r="C67" t="str"><v>RAMESH KUMAR.M.R .</v></cell><cell r="D67" t="str"><v>Vansale Representative</v></cell><cell r="E67"><v>8922</v></cell><cell r="F67"><v>4461</v></cell><cell r="G67"><v>1487</v></cell><cell r="H67"><v>14870</v></cell><cell r="I67"><v>30</v></cell><cell r="J67"><v>8922</v></cell><cell r="K67"><v>4461</v></cell><cell r="L67"><v>1487</v></cell></row><row r="67"><cell r="N67"><v>14870</v></cell></row><row r="68"><cell r="B68"><v>3280</v></cell><cell r="C68" t="str"><v>DHANANJAYAN.V.K .</v></cell><cell r="D68" t="str"><v>Accounts Assistant</v></cell><cell r="E68"><v>8772</v></cell><cell r="F68"><v>4386</v></cell><cell r="G68"><v>1462</v></cell><cell r="H68"><v>14620</v></cell><cell r="I68"><v>30</v></cell><cell r="J68"><v>8772</v></cell><cell r="K68"><v>4386</v></cell><cell r="L68"><v>1462</v></cell></row><row r="68"><cell r="N68"><v>14620</v></cell></row><row r="69"><cell r="B69"><v>3281</v></cell><cell r="C69" t="str"><v>CASTRO JOSEPH.J .</v></cell><cell r="D69" t="str"><v>Delivery Boy</v></cell><cell r="E69"><v>8706</v></cell><cell r="F69"><v>4353</v></cell><cell r="G69"><v>1451</v></cell><cell r="H69"><v>14510</v></cell><cell r="I69"><v>30</v></cell><cell r="J69"><v>8706</v></cell><cell r="K69"><v>4353</v></cell><cell r="L69"><v>1451</v></cell></row><row r="69"><cell r="N69"><v>14510</v></cell></row><row r="70"><cell r="B70"><v>3284</v></cell><cell r="C70" t="str"><v>NISAM.F .</v></cell><cell r="D70" t="str"><v>Delivery Boy</v></cell><cell r="E70"><v>8106</v></cell><cell r="F70"><v>4053</v></cell><cell r="G70"><v>1351</v></cell><cell r="H70"><v>13510</v></cell><cell r="I70"><v>30</v></cell><cell r="J70"><v>8106</v></cell><cell r="K70"><v>4053</v></cell><cell r="L70"><v>1351</v></cell></row><row r="70"><cell r="N70"><v>13510</v></cell></row><row r="71"><cell r="B71"><v>3287</v></cell><cell r="C71" t="str"><v>SHIHAB.Y .</v></cell><cell r="D71" t="str"><v>Merchandiser</v></cell><cell r="E71"><v>9954</v></cell><cell r="F71"><v>4977</v></cell><cell r="G71"><v>1659</v></cell><cell r="H71"><v>16590</v></cell><cell r="I71"><v>30</v></cell><cell r="J71"><v>9954</v></cell><cell r="K71"><v>4977</v></cell><cell r="L71"><v>1659</v></cell></row><row r="71"><cell r="N71"><v>16590</v></cell></row><row r="72"><cell r="B72"><v>3292</v></cell><cell r="C72" t="str"><v>VISHNU KUMAR.M .</v></cell><cell r="D72" t="str"><v>Delivery Boy</v></cell><cell r="E72"><v>7908</v></cell><cell r="F72"><v>3954</v></cell><cell r="G72"><v>1318</v></cell><cell r="H72"><v>13180</v></cell><cell r="I72"><v>30</v></cell><cell r="J72"><v>7908</v></cell><cell r="K72"><v>3954</v></cell><cell r="L72"><v>1318</v></cell></row><row r="72"><cell r="N72"><v>13180</v></cell></row><row r="73"><cell r="B73"><v>3321</v></cell><cell r="C73" t="str"><v>MANOJ.K .</v></cell><cell r="D73" t="str"><v>Territory Sales Manager</v></cell><cell r="E73"><v>24528</v></cell><cell r="F73"><v>12264</v></cell><cell r="G73"><v>4088</v></cell><cell r="H73"><v>40880</v></cell><cell r="I73"><v>30</v></cell><cell r="J73"><v>24528</v></cell><cell r="K73"><v>12264</v></cell><cell r="L73"><v>4088</v></cell></row><row r="73"><cell r="N73"><v>40880</v></cell></row><row r="74"><cell r="B74"><v>3322</v></cell><cell r="C74" t="str"><v>SUMESH.K.M .</v></cell><cell r="D74" t="str"><v>Delivery Boy</v></cell><cell r="E74"><v>7908</v></cell><cell r="F74"><v>3954</v></cell><cell r="G74"><v>1318</v></cell><cell r="H74"><v>13180</v></cell><cell r="I74"><v>30</v></cell><cell r="J74"><v>7908</v></cell><cell r="K74"><v>3954</v></cell><cell r="L74"><v>1318</v></cell></row><row r="74"><cell r="N74"><v>13180</v></cell></row><row r="75"><cell r="B75"><v>3324</v></cell><cell r="C75" t="str"><v>SUNILKUMAR.E.V .</v></cell><cell r="D75" t="str"><v>Delivery Boy</v></cell><cell r="E75"><v>8964</v></cell><cell r="F75"><v>4482</v></cell><cell r="G75"><v>1494</v></cell><cell r="H75"><v>14940</v></cell><cell r="I75"><v>25</v></cell><cell r="J75"><v>7470</v></cell><cell r="K75"><v>3735</v></cell><cell r="L75"><v>1245</v></cell></row><row r="75"><cell r="N75"><v>12450</v></cell></row><row r="76"><cell r="B76"><v>3341</v></cell><cell r="C76" t="str"><v>Vinod.V .</v></cell><cell r="D76" t="str"><v>Accounts Assistant</v></cell><cell r="E76"><v>9000</v></cell><cell r="F76"><v>4500</v></cell><cell r="G76"><v>1500</v></cell><cell r="H76"><v>15000</v></cell><cell r="I76"><v>30</v></cell><cell r="J76"><v>9000</v></cell><cell r="K76"><v>4500</v></cell><cell r="L76"><v>1500</v></cell></row><row r="76"><cell r="N76"><v>15000</v></cell></row><row r="77"><cell r="B77"><v>3352</v></cell><cell r="C77" t="str"><v>Sujesh.K .</v></cell><cell r="D77" t="str"><v>Merchandiser</v></cell><cell r="E77"><v>10404</v></cell><cell r="F77"><v>5202</v></cell><cell r="G77"><v>1734</v></cell><cell r="H77"><v>17340</v></cell><cell r="I77"><v>30</v></cell><cell r="J77"><v>10404</v></cell><cell r="K77"><v>5202</v></cell><cell r="L77"><v>1734</v></cell></row><row r="77"><cell r="N77"><v>17340</v></cell></row><row r="78"><cell r="B78"><v>3355</v></cell><cell r="C78" t="str"><v>Krishna Prasad V.S .</v></cell><cell r="D78" t="str"><v>Accounts Assistant</v></cell><cell r="E78"><v>8730</v></cell><cell r="F78"><v>4365</v></cell><cell r="G78"><v>1455</v></cell><cell r="H78"><v>14550</v></cell><cell r="I78"><v>30</v></cell><cell r="J78"><v>8730</v></cell><cell r="K78"><v>4365</v></cell><cell r="L78"><v>1455</v></cell></row><row r="78"><cell r="N78"><v>14550</v></cell></row><row r="79"><cell r="B79"><v>3358</v></cell><cell r="C79" t="str"><v>Vinod Kumar.S .</v></cell><cell r="D79" t="str"><v>Vansale Representative</v></cell><cell r="E79"><v>8904</v></cell><cell r="F79"><v>4452</v></cell><cell r="G79"><v>1484</v></cell><cell r="H79"><v>14840</v></cell><cell r="I79"><v>30</v></cell><cell r="J79"><v>8904</v></cell><cell r="K79"><v>4452</v></cell><cell r="L79"><v>1484</v></cell></row><row r="79"><cell r="N79"><v>14840</v></cell></row><row r="80"><cell r="B80"><v>3364</v></cell><cell r="C80" t="str"><v>Manmadhan Pillai.N.C .</v></cell><cell r="D80" t="str"><v>Delivery Boy</v></cell><cell r="E80"><v>8106</v></cell><cell r="F80"><v>4053</v></cell><cell r="G80"><v>1351</v></cell><cell r="H80"><v>13510</v></cell><cell r="I80"><v>30</v></cell><cell r="J80"><v>8106</v></cell><cell r="K80"><v>4053</v></cell><cell r="L80"><v>1351</v></cell></row><row r="80"><cell r="N80"><v>13510</v></cell></row><row r="81"><cell r="B81"><v>3373</v></cell><cell r="C81" t="str"><v>Vishnujith.P.S .</v></cell><cell r="D81" t="str"><v>Despatch Assistant</v></cell><cell r="E81"><v>8232</v></cell><cell r="F81"><v>4116</v></cell><cell r="G81"><v>1372</v></cell><cell r="H81"><v>13720</v></cell><cell r="I81"><v>30</v></cell><cell r="J81"><v>8232</v></cell><cell r="K81"><v>4116</v></cell><cell r="L81"><v>1372</v></cell></row><row r="81"><cell r="N81"><v>13720</v></cell></row><row r="82"><cell r="B82"><v>3408</v></cell><cell r="C82" t="str"><v>Prasad.P.P .</v></cell><cell r="D82" t="str"><v>Territory Sales Executive</v></cell><cell r="E82"><v>9534</v></cell><cell r="F82"><v>4767</v></cell><cell r="G82"><v>1589</v></cell><cell r="H82"><v>15890</v></cell><cell r="I82"><v>30</v></cell><cell r="J82"><v>9534</v></cell><cell r="K82"><v>4767</v></cell><cell r="L82"><v>1589</v></cell></row><row r="82"><cell r="N82"><v>15890</v></cell></row><row r="83"><cell r="B83"><v>3437</v></cell><cell r="C83" t="str"><v>Saji.P.U .</v></cell><cell r="D83" t="str"><v>Senior Executive - Logist</v></cell><cell r="E83"><v>15942</v></cell><cell r="F83"><v>7971</v></cell><cell r="G83"><v>2657</v></cell><cell r="H83"><v>26570</v></cell><cell r="I83"><v>30</v></cell><cell r="J83"><v>15942</v></cell><cell r="K83"><v>7971</v></cell><cell r="L83"><v>2657</v></cell></row><row r="83"><cell r="N83"><v>26570</v></cell></row><row r="84"><cell r="B84"><v>3446</v></cell><cell r="C84" t="str"><v>Sreekuttan.N.R .</v></cell><cell r="D84" t="str"><v>Supervisor-Production</v></cell><cell r="E84"><v>7200</v></cell><cell r="F84"><v>3600</v></cell><cell r="G84"><v>1200</v></cell><cell r="H84"><v>12000</v></cell><cell r="I84"><v>30</v></cell><cell r="J84"><v>7200</v></cell><cell r="K84"><v>3600</v></cell><cell r="L84"><v>1200</v></cell></row><row r="84"><cell r="N84"><v>12000</v></cell></row><row r="85"><cell r="B85"><v>3452</v></cell><cell r="C85" t="str"><v>Vinod.T.N .</v></cell><cell r="D85" t="str"><v>Delivery Boy</v></cell><cell r="E85"><v>7458</v></cell><cell r="F85"><v>3729</v></cell><cell r="G85"><v>1243</v></cell><cell r="H85"><v>12430</v></cell><cell r="I85"><v>30</v></cell><cell r="J85"><v>7458</v></cell><cell r="K85"><v>3729</v></cell><cell r="L85"><v>1243</v></cell></row><row r="85"><cell r="N85"><v>12430</v></cell></row><row r="86"><cell r="B86"><v>3473</v></cell><cell r="C86" t="str"><v>Shoukathali.A .</v></cell><cell r="D86" t="str"><v>Delivery Boy</v></cell><cell r="E86"><v>7458</v></cell><cell r="F86"><v>3729</v></cell><cell r="G86"><v>1243</v></cell><cell r="H86"><v>12430</v></cell><cell r="I86"><v>30</v></cell><cell r="J86"><v>7458</v></cell><cell r="K86"><v>3729</v></cell><cell r="L86"><v>1243</v></cell></row><row r="86"><cell r="N86"><v>12430</v></cell></row><row r="87"><cell r="B87"><v>3498</v></cell><cell r="C87" t="str"><v>Shereef.K.U .</v></cell><cell r="D87" t="str"><v>Assistant Accounts</v></cell><cell r="E87"><v>8526</v></cell><cell r="F87"><v>4263</v></cell><cell r="G87"><v>1421</v></cell><cell r="H87"><v>14210</v></cell><cell r="I87"><v>30</v></cell><cell r="J87"><v>8526</v></cell><cell r="K87"><v>4263</v></cell><cell r="L87"><v>1421</v></cell></row><row r="87"><cell r="N87"><v>14210</v></cell></row><row r="88"><cell r="B88"><v>3529</v></cell><cell r="C88" t="str"><v>Arun Babu .</v></cell><cell r="D88" t="str"><v>Quality Assistant</v></cell><cell r="E88"><v>6318</v></cell><cell r="F88"><v>3159</v></cell><cell r="G88"><v>1053</v></cell><cell r="H88"><v>10530</v></cell><cell r="I88"><v>30</v></cell><cell r="J88"><v>6318</v></cell><cell r="K88"><v>3159</v></cell><cell r="L88"><v>1053</v></cell></row><row r="88"><cell r="N88"><v>10530</v></cell></row><row r="89"><cell r="B89"><v>3530</v></cell><cell r="C89" t="str"><v>Dixon Davis .</v></cell><cell r="D89" t="str"><v>HR Assistant</v></cell><cell r="E89"><v>7200</v></cell><cell r="F89"><v>3600</v></cell><cell r="G89"><v>1200</v></cell><cell r="H89"><v>12000</v></cell><cell r="I89"><v>30</v></cell><cell r="J89"><v>7200</v></cell><cell r="K89"><v>3600</v></cell><cell r="L89"><v>1200</v></cell></row><row r="89"><cell r="N89"><v>12000</v></cell></row><row r="90"><cell r="B90"><v>3539</v></cell><cell r="C90" t="str"><v>Gopakumar.E.K .</v></cell><cell r="D90" t="str"><v>Territory Sales Executive</v></cell><cell r="E90"><v>8040</v></cell><cell r="F90"><v>4020</v></cell><cell r="G90"><v>1340</v></cell><cell r="H90"><v>13400</v></cell><cell r="I90"><v>30</v></cell><cell r="J90"><v>8040</v></cell><cell r="K90"><v>4020</v></cell><cell r="L90"><v>1340</v></cell></row><row r="90"><cell r="N90"><v>13400</v></cell></row><row r="91"><cell r="B91"><v>3555</v></cell><cell r="C91" t="str"><v>Ajith.N.P .</v></cell><cell r="D91" t="str"><v>Assistant Manager-Mainten</v></cell><cell r="E91"><v>22122</v></cell><cell r="F91"><v>11061</v></cell><cell r="G91"><v>3687</v></cell><cell r="H91"><v>36870</v></cell><cell r="I91"><v>30</v></cell><cell r="J91"><v>22122</v></cell><cell r="K91"><v>11061</v></cell><cell r="L91"><v>3687</v></cell></row><row r="91"><cell r="N91"><v>36870</v></cell></row><row r="92"><cell r="B92"><v>3557</v></cell><cell r="C92" t="str"><v>Abdul Nazar.K .</v></cell><cell r="D92" t="str"><v>Delivery Boy</v></cell><cell r="E92"><v>7758</v></cell><cell r="F92"><v>3879</v></cell><cell r="G92"><v>1293</v></cell><cell r="H92"><v>12930</v></cell><cell r="I92"><v>30</v></cell><cell r="J92"><v>7758</v></cell><cell r="K92"><v>3879</v></cell><cell r="L92"><v>1293</v></cell></row><row r="92"><cell r="N92"><v>12930</v></cell></row><row r="93"><cell r="B93"><v>3569</v></cell><cell r="C93" t="str"><v>Raneesh.V.R .</v></cell><cell r="D93" t="str"><v>Driver</v></cell><cell r="E93"><v>9756</v></cell><cell r="F93"><v>4878</v></cell><cell r="G93"><v>1626</v></cell><cell r="H93"><v>16260</v></cell><cell r="I93"><v>30</v></cell><cell r="J93"><v>9756</v></cell><cell r="K93"><v>4878</v></cell><cell r="L93"><v>1626</v></cell></row><row r="93"><cell r="N93"><v>16260</v></cell></row><row r="94"><cell r="B94"><v>3570</v></cell><cell r="C94" t="str"><v>Ajeesh.T.P .</v></cell><cell r="D94" t="str"><v>Sales Representative</v></cell><cell r="E94"><v>9300</v></cell><cell r="F94"><v>4650</v></cell><cell r="G94"><v>1550</v></cell><cell r="H94"><v>15500</v></cell><cell r="I94"><v>30</v></cell><cell r="J94"><v>9300</v></cell><cell r="K94"><v>4650</v></cell><cell r="L94"><v>1550</v></cell></row><row r="94"><cell r="N94"><v>15500</v></cell></row><row r="95"><cell r="B95"><v>3587</v></cell><cell r="C95" t="str"><v>Renu.P.R .</v></cell><cell r="D95" t="str"><v>Executive Administration</v></cell><cell r="E95"><v>12042</v></cell><cell r="F95"><v>6021</v></cell><cell r="G95"><v>2007</v></cell><cell r="H95"><v>20070</v></cell><cell r="I95"><v>30</v></cell><cell r="J95"><v>12042</v></cell><cell r="K95"><v>6021</v></cell><cell r="L95"><v>2007</v></cell></row><row r="95"><cell r="N95"><v>20070</v></cell></row><row r="96"><cell r="B96"><v>3602</v></cell><cell r="C96" t="str"><v>Jijesh.R .</v></cell><cell r="D96" t="str"><v>Delivery Boy</v></cell><cell r="E96"><v>6660</v></cell><cell r="F96"><v>3330</v></cell><cell r="G96"><v>1110</v></cell><cell r="H96"><v>11100</v></cell><cell r="I96"><v>30</v></cell><cell r="J96"><v>6660</v></cell><cell r="K96"><v>3330</v></cell><cell r="L96"><v>1110</v></cell></row><row r="96"><cell r="N96"><v>11100</v></cell></row><row r="97"><cell r="B97"><v>3812</v></cell><cell r="C97" t="str"><v>VISHNU.V .</v></cell><cell r="D97" t="str"><v>Sales Representative</v></cell><cell r="E97"><v>7500</v></cell><cell r="F97"><v>3750</v></cell><cell r="G97"><v>1250</v></cell><cell r="H97"><v>12500</v></cell><cell r="I97"><v>30</v></cell><cell r="J97"><v>7500</v></cell><cell r="K97"><v>3750</v></cell><cell r="L97"><v>1250</v></cell></row><row r="97"><cell r="N97"><v>12500</v></cell></row><row r="98"><cell r="B98"><v>3813</v></cell><cell r="C98" t="str"><v>SURESH.G .</v></cell><cell r="D98" t="str"><v>Vansale Representative</v></cell><cell r="E98"><v>8100</v></cell><cell r="F98"><v>4050</v></cell><cell r="G98"><v>1350</v></cell><cell r="H98"><v>13500</v></cell><cell r="I98"><v>30</v></cell><cell r="J98"><v>8100</v></cell><cell r="K98"><v>4050</v></cell><cell r="L98"><v>1350</v></cell></row><row r="98"><cell r="N98"><v>13500</v></cell></row><row r="99"><cell r="B99"><v>3815</v></cell><cell r="C99" t="str"><v>SIJU.P .</v></cell><cell r="D99" t="str"><v>Vansale Representative</v></cell><cell r="E99"><v>7485</v></cell><cell r="F99"><v>3742.5</v></cell><cell r="G99"><v>1247.5</v></cell><cell r="H99"><v>12475</v></cell><cell r="I99"><v>30</v></cell><cell r="J99"><v>7485</v></cell><cell r="K99"><v>3742.5</v></cell><cell r="L99"><v>1247.5</v></cell></row><row r="99"><cell r="N99"><v>12475</v></cell></row><row r="100"><cell r="B100"><v>3879</v></cell><cell r="C100" t="str"><v>RAMAKRISHNAN.P .</v></cell><cell r="D100" t="str"><v>Assistant Food Safety and</v></cell><cell r="E100"><v>7020</v></cell><cell r="F100"><v>3510</v></cell><cell r="G100"><v>1170</v></cell><cell r="H100"><v>11700</v></cell><cell r="I100"><v>30</v></cell><cell r="J100"><v>7020</v></cell><cell r="K100"><v>3510</v></cell><cell r="L100"><v>1170</v></cell></row><row r="100"><cell r="N100"><v>11700</v></cell></row><row r="101"><cell r="B101"><v>3880</v></cell><cell r="C101" t="str"><v>Suresh.C .</v></cell><cell r="D101" t="str"><v>Quality Assistant</v></cell><cell r="E101"><v>8406</v></cell><cell r="F101"><v>4203</v></cell><cell r="G101"><v>1401</v></cell><cell r="H101"><v>14010</v></cell><cell r="I101"><v>30</v></cell><cell r="J101"><v>8406</v></cell><cell r="K101"><v>4203</v></cell><cell r="L101"><v>1401</v></cell></row><row r="101"><cell r="N101"><v>14010</v></cell></row><row r="102"><cell r="B102"><v>3904</v></cell><cell r="C102" t="str"><v>ROBINSON.G .</v></cell><cell r="D102" t="str"><v>Sales Representative</v></cell><cell r="E102"><v>8100</v></cell><cell r="F102"><v>4050</v></cell><cell r="G102"><v>1350</v></cell><cell r="H102"><v>13500</v></cell><cell r="I102"><v>5</v></cell><cell r="J102"><v>1350</v></cell><cell r="K102"><v>675</v></cell><cell r="L102"><v>225</v></cell></row><row r="102"><cell r="N102"><v>2250</v></cell></row><row r="103"><cell r="B103"><v>3910</v></cell><cell r="C103" t="str"><v>NITHIN THOMAS .</v></cell><cell r="D103" t="str"><v>Assistant Accounts</v></cell><cell r="E103"><v>8304</v></cell><cell r="F103"><v>4152</v></cell><cell r="G103"><v>1384</v></cell><cell r="H103"><v>13840</v></cell><cell r="I103"><v>30</v></cell><cell r="J103"><v>8304</v></cell><cell r="K103"><v>4152</v></cell><cell r="L103"><v>1384</v></cell></row><row r="103"><cell r="N103"><v>13840</v></cell></row><row r="104"><cell r="B104"><v>3931</v></cell><cell r="C104" t="str"><v>VARGHESE CHACKO .</v></cell><cell r="D104" t="str"><v>Merchandiser</v></cell><cell r="E104"><v>6900</v></cell><cell r="F104"><v>3450</v></cell><cell r="G104"><v>1150</v></cell><cell r="H104"><v>11500</v></cell><cell r="I104"><v>30</v></cell><cell r="J104"><v>6900</v></cell><cell r="K104"><v>3450</v></cell><cell r="L104"><v>1150</v></cell></row><row r="104"><cell r="N104"><v>11500</v></cell></row><row r="105"><cell r="B105"><v>3959</v></cell><cell r="C105" t="str"><v>AKBAR.N .</v></cell><cell r="D105" t="str"><v>Sales Representative</v></cell><cell r="E105"><v>8400</v></cell><cell r="F105"><v>4200</v></cell><cell r="G105"><v>1400</v></cell><cell r="H105"><v>14000</v></cell><cell r="I105"><v>30</v></cell><cell r="J105"><v>8400</v></cell><cell r="K105"><v>4200</v></cell><cell r="L105"><v>1400</v></cell></row><row r="105"><cell r="N105"><v>14000</v></cell></row><row r="106"><cell r="B106"><v>3964</v></cell><cell r="C106" t="str"><v>SINIL.T.R .</v></cell><cell r="D106" t="str"><v>Sales Representative-EKM</v></cell><cell r="E106"><v>8100</v></cell><cell r="F106"><v>4050</v></cell><cell r="G106"><v>1350</v></cell><cell r="H106"><v>13500</v></cell><cell r="I106"><v>30</v></cell><cell r="J106"><v>8100</v></cell><cell r="K106"><v>4050</v></cell><cell r="L106"><v>1350</v></cell></row><row r="106"><cell r="N106"><v>13500</v></cell></row><row r="107"><cell r="B107"><v>4031</v></cell><cell r="C107" t="str"><v>VISHNU GOPAKUMAR.G .</v></cell><cell r="D107" t="str"><v>Delivery Boy</v></cell><cell r="E107"><v>6000</v></cell><cell r="F107"><v>3000</v></cell><cell r="G107"><v>1000</v></cell><cell r="H107"><v>10000</v></cell><cell r="I107"><v>30</v></cell><cell r="J107"><v>6000</v></cell><cell r="K107"><v>3000</v></cell><cell r="L107"><v>1000</v></cell></row><row r="107"><cell r="N107"><v>10000</v></cell></row><row r="108"><cell r="B108"><v>4043</v></cell><cell r="C108" t="str"><v>MURUKESH.K.D .</v></cell><cell r="D108" t="str"><v>Assistant Accounts</v></cell><cell r="E108"><v>7200</v></cell><cell r="F108"><v>3600</v></cell><cell r="G108"><v>1200</v></cell><cell r="H108"><v>12000</v></cell><cell r="I108"><v>30</v></cell><cell r="J108"><v>7200</v></cell><cell r="K108"><v>3600</v></cell><cell r="L108"><v>1200</v></cell></row><row r="108"><cell r="N108"><v>12000</v></cell></row><row r="109"><cell r="B109"><v>4071</v></cell><cell r="C109" t="str"><v>VENUGOPALAN.T.S .</v></cell><cell r="D109" t="str"><v>Delivery Boy</v></cell><cell r="E109"><v>6300</v></cell><cell r="F109"><v>3150</v></cell><cell r="G109"><v>1050</v></cell><cell r="H109"><v>10500</v></cell><cell r="I109"><v>30</v></cell><cell r="J109"><v>6300</v></cell><cell r="K109"><v>3150</v></cell><cell r="L109"><v>1050</v></cell></row><row r="109"><cell r="N109"><v>10500</v></cell></row><row r="110"><cell r="B110"><v>4080</v></cell><cell r="C110" t="str"><v>AMAL.M.K .</v></cell><cell r="D110" t="str"><v>Assistant Accounts</v></cell><cell r="E110"><v>9000</v></cell><cell r="F110"><v>4500</v></cell><cell r="G110"><v>1500</v></cell><cell r="H110"><v>15000</v></cell><cell r="I110"><v>30</v></cell><cell r="J110"><v>9000</v></cell><cell r="K110"><v>4500</v></cell><cell r="L110"><v>1500</v></cell></row><row r="110"><cell r="N110"><v>15000</v></cell></row><row r="111"><cell r="B111"><v>4082</v></cell><cell r="C111" t="str"><v>MOHAMMED RAHEES.K.P .</v></cell><cell r="D111" t="str"><v>Assistant Accounts</v></cell><cell r="E111"><v>6600</v></cell><cell r="F111"><v>3300</v></cell><cell r="G111"><v>1100</v></cell><cell r="H111"><v>11000</v></cell><cell r="I111"><v>30</v></cell><cell r="J111"><v>6600</v></cell><cell r="K111"><v>3300</v></cell><cell r="L111"><v>1100</v></cell></row><row r="111"><cell r="N111"><v>11000</v></cell></row><row r="112"><cell r="B112"><v>4099</v></cell><cell r="C112" t="str"><v>RANAJITH.O .</v></cell><cell r="D112" t="str"><v>Sales Representative</v></cell><cell r="E112"><v>7200</v></cell><cell r="F112"><v>3600</v></cell><cell r="G112"><v>1200</v></cell><cell r="H112"><v>12000</v></cell><cell r="I112"><v>30</v></cell><cell r="J112"><v>7200</v></cell><cell r="K112"><v>3600</v></cell><cell r="L112"><v>1200</v></cell></row><row r="112"><cell r="N112"><v>12000</v></cell></row><row r="113"><cell r="B113"><v>4110</v></cell><cell r="C113" t="str"><v>NITHIN DAS.C.H .</v></cell><cell r="D113" t="str"><v>Accounts Assistant</v></cell><cell r="E113"><v>9000</v></cell><cell r="F113"><v>4500</v></cell><cell r="G113"><v>1500</v></cell><cell r="H113"><v>15000</v></cell><cell r="I113"><v>30</v></cell><cell r="J113"><v>9000</v></cell><cell r="K113"><v>4500</v></cell><cell r="L113"><v>1500</v></cell></row><row r="113"><cell r="N113"><v>15000</v></cell></row><row r="114"><cell r="B114"><v>4112</v></cell><cell r="C114" t="str"><v>DAVID.A.OLLUKARAN .</v></cell><cell r="D114" t="str"><v>Accounts Assistant</v></cell><cell r="E114"><v>6000</v></cell><cell r="F114"><v>3000</v></cell><cell r="G114"><v>1000</v></cell><cell r="H114"><v>10000</v></cell><cell r="I114"><v>27</v></cell><cell r="J114"><v>5400</v></cell><cell r="K114"><v>2700</v></cell><cell r="L114"><v>900</v></cell></row><row r="114"><cell r="N114"><v>9000</v></cell></row><row r="115"><cell r="B115"><v>4123</v></cell><cell r="C115" t="str"><v>MANJESH.P.A .</v></cell><cell r="D115" t="str"><v>Accounts Assistant</v></cell><cell r="E115"><v>7500</v></cell><cell r="F115"><v>3750</v></cell><cell r="G115"><v>1250</v></cell><cell r="H115"><v>12500</v></cell><cell r="I115"><v>30</v></cell><cell r="J115"><v>7500</v></cell><cell r="K115"><v>3750</v></cell><cell r="L115"><v>1250</v></cell></row><row r="115"><cell r="N115"><v>12500</v></cell></row><row r="116"><cell r="B116"><v>4147</v></cell><cell r="C116" t="str"><v>JIJO.A.G .</v></cell><cell r="D116" t="str"><v>Territory Sales Executive</v></cell><cell r="E116"><v>7800</v></cell><cell r="F116"><v>3900</v></cell><cell r="G116"><v>1300</v></cell><cell r="H116"><v>13000</v></cell><cell r="I116"><v>30</v></cell><cell r="J116"><v>7800</v></cell><cell r="K116"><v>3900</v></cell><cell r="L116"><v>1300</v></cell></row><row r="116"><cell r="N116"><v>13000</v></cell></row><row r="117"><cell r="B117"><v>4173</v></cell><cell r="C117" t="str"><v>DINESH.P.U .</v></cell><cell r="D117" t="str"><v>Assistant Internal Audit</v></cell><cell r="E117"><v>6300</v></cell><cell r="F117"><v>3150</v></cell><cell r="G117"><v>1050</v></cell><cell r="H117"><v>10500</v></cell><cell r="I117"><v>30</v></cell><cell r="J117"><v>6300</v></cell><cell r="K117"><v>3150</v></cell><cell r="L117"><v>1050</v></cell></row><row r="117"><cell r="N117"><v>10500</v></cell></row><row r="118"><cell r="B118"><v>4174</v></cell><cell r="C118" t="str"><v>SUNIL KUMAR.K.S .</v></cell><cell r="D118" t="str"><v>Delivery Boy-Ernakulam</v></cell><cell r="E118"><v>6900</v></cell><cell r="F118"><v>3450</v></cell><cell r="G118"><v>1150</v></cell><cell r="H118"><v>11500</v></cell><cell r="I118"><v>30</v></cell><cell r="J118"><v>6900</v></cell><cell r="K118"><v>3450</v></cell><cell r="L118"><v>1150</v></cell></row><row r="118"><cell r="N118"><v>11500</v></cell></row><row r="119"><cell r="B119"><v>4182</v></cell><cell r="C119" t="str"><v>SREERAG.V.J .</v></cell><cell r="D119" t="str"><v>Electrician</v></cell><cell r="E119"><v>6000</v></cell><cell r="F119"><v>3000</v></cell><cell r="G119"><v>1000</v></cell><cell r="H119"><v>10000</v></cell><cell r="I119"><v>30</v></cell><cell r="J119"><v>6000</v></cell><cell r="K119"><v>3000</v></cell><cell r="L119"><v>1000</v></cell></row><row r="119"><cell r="N119"><v>10000</v></cell></row><row r="120"><cell r="B120"><v>4200</v></cell><cell r="C120" t="str"><v>SHIJO VARGHESE .</v></cell><cell r="D120" t="str"><v>Integration: default posi</v></cell><cell r="E120"><v>6000</v></cell><cell r="F120"><v>3000</v></cell><cell r="G120"><v>1000</v></cell><cell r="H120"><v>10000</v></cell><cell r="I120"><v>14</v></cell><cell r="J120"><v>2800</v></cell><cell r="K120"><v>1400</v></cell><cell r="L120"><v>466.67</v></cell></row><row r="120"><cell r="N120"><v>4666.67</v></cell></row><row r="121"><cell r="B121"><v>4201</v></cell><cell r="C121" t="str"><v>MANU.M .</v></cell><cell r="D121" t="str"><v>Assistant-Accounts</v></cell><cell r="E121"><v>6000</v></cell><cell r="F121"><v>3000</v></cell><cell r="G121"><v>1000</v></cell><cell r="H121"><v>10000</v></cell><cell r="I121"><v>30</v></cell><cell r="J121"><v>6000</v></cell><cell r="K121"><v>3000</v></cell><cell r="L121"><v>1000</v></cell></row><row r="121"><cell r="N121"><v>10000</v></cell></row><row r="122"><cell r="B122"><v>4270</v></cell><cell r="C122" t="str"><v>ATHUL KUMAR.K.R .</v></cell><cell r="D122" t="str"><v>Assistant-Accountant</v></cell><cell r="E122"><v>7200</v></cell><cell r="F122"><v>3600</v></cell><cell r="G122"><v>1200</v></cell><cell r="H122"><v>12000</v></cell><cell r="I122"><v>30</v></cell><cell r="J122"><v>7200</v></cell><cell r="K122"><v>3600</v></cell><cell r="L122"><v>1200</v></cell></row><row r="122"><cell r="N122"><v>12000</v></cell></row><row r="123"><cell r="B123"><v>4438</v></cell><cell r="C123" t="str"><v>VISHNU.M.T .</v></cell><cell r="D123" t="str"><v>Delivery Boy</v></cell><cell r="E123"><v>7200</v></cell><cell r="F123"><v>3600</v></cell><cell r="G123"><v>1200</v></cell><cell r="H123"><v>12000</v></cell><cell r="I123"><v>27</v></cell><cell r="J123"><v>6480</v></cell><cell r="K123"><v>3240</v></cell><cell r="L123"><v>1080</v></cell></row><row r="123"><cell r="N123"><v>10800</v></cell></row><row r="124"><cell r="B124"><v>4451</v></cell><cell r="C124" t="str"><v>JOBY.K.J .</v></cell><cell r="D124" t="str"><v>Assistant-Accounts</v></cell><cell r="E124"><v>6600</v></cell><cell r="F124"><v>3300</v></cell><cell r="G124"><v>1100</v></cell><cell r="H124"><v>11000</v></cell><cell r="I124"><v>30</v></cell><cell r="J124"><v>6600</v></cell><cell r="K124"><v>3300</v></cell><cell r="L124"><v>1100</v></cell></row><row r="124"><cell r="N124"><v>11000</v></cell></row><row r="125"><cell r="B125"><v>4452</v></cell><cell r="C125" t="str"><v>VIJITHA VIJAYAN .</v></cell><cell r="D125" t="str"><v>Jr.Executive-Accounts</v></cell><cell r="E125"><v>9000</v></cell><cell r="F125"><v>4500</v></cell><cell r="G125"><v>1500</v></cell><cell r="H125"><v>15000</v></cell><cell r="I125"><v>30</v></cell><cell r="J125"><v>9000</v></cell><cell r="K125"><v>4500</v></cell><cell r="L125"><v>1500</v></cell></row><row r="125"><cell r="N125"><v>15000</v></cell></row><row r="126"><cell r="B126"><v>4484</v></cell><cell r="C126" t="str"><v>Seeji M .</v></cell><cell r="D126" t="str"><v>Territory Sales Executive</v></cell><cell r="E126"><v>11220</v></cell><cell r="F126"><v>5610</v></cell><cell r="G126"><v>1870</v></cell><cell r="H126"><v>18700</v></cell><cell r="I126"><v>28</v></cell><cell r="J126"><v>10472</v></cell><cell r="K126"><v>5236</v></cell><cell r="L126"><v>1745.33</v></cell></row><row r="126"><cell r="N126"><v>17453.33</v></cell></row><row r="127"><cell r="B127"><v>4529</v></cell><cell r="C127" t="str"><v>NAGARAJAN.P .</v></cell><cell r="D127" t="str"><v>Assistant-Despatch</v></cell><cell r="E127"><v>5400</v></cell><cell r="F127"><v>2700</v></cell><cell r="G127"><v>900</v></cell><cell r="H127"><v>9000</v></cell><cell r="I127"><v>30</v></cell><cell r="J127"><v>5400</v></cell><cell r="K127"><v>2700</v></cell><cell r="L127"><v>900</v></cell></row><row r="127"><cell r="N127"><v>9000</v></cell></row><row r="128"><cell r="B128"><v>4530</v></cell><cell r="C128" t="str"><v>VINOD.T .</v></cell><cell r="D128" t="str"><v>Assistant-Despatch</v></cell><cell r="E128"><v>6300</v></cell><cell r="F128"><v>3150</v></cell><cell r="G128"><v>1050</v></cell><cell r="H128"><v>10500</v></cell><cell r="I128"><v>30</v></cell><cell r="J128"><v>6300</v></cell><cell r="K128"><v>3150</v></cell><cell r="L128"><v>1050</v></cell></row><row r="128"><cell r="N128"><v>10500</v></cell></row><row r="129"><cell r="B129"><v>4560</v></cell><cell r="C129" t="str"><v>BINI SIJO .</v></cell><cell r="D129" t="str"><v>Sales Co-ordinator</v></cell><cell r="E129"><v>6600</v></cell><cell r="F129"><v>3300</v></cell><cell r="G129"><v>1100</v></cell><cell r="H129"><v>11000</v></cell><cell r="I129"><v>30</v></cell><cell r="J129"><v>6600</v></cell><cell r="K129"><v>3300</v></cell><cell r="L129"><v>1100</v></cell></row><row r="129"><cell r="N129"><v>11000</v></cell></row><row r="130"><cell r="B130"><v>4932</v></cell><cell r="C130" t="str"><v>SANTHOSH KUMAR.B .</v></cell><cell r="D130" t="str"><v>Delivery Boy</v></cell><cell r="E130"><v>7200</v></cell><cell r="F130"><v>3600</v></cell><cell r="G130"><v>1200</v></cell><cell r="H130"><v>12000</v></cell><cell r="I130"><v>30</v></cell><cell r="J130"><v>7200</v></cell><cell r="K130"><v>3600</v></cell><cell r="L130"><v>1200</v></cell></row><row r="130"><cell r="N130"><v>12000</v></cell></row><row r="131"><cell r="B131"><v>4937</v></cell><cell r="C131" t="str"><v>LINSON.C.L .</v></cell><cell r="D131" t="str"><v>Territory Sales Executive</v></cell><cell r="E131"><v>10800</v></cell><cell r="F131"><v>5400</v></cell><cell r="G131"><v>1800</v></cell><cell r="H131"><v>18000</v></cell><cell r="I131"><v>30</v></cell><cell r="J131"><v>10800</v></cell><cell r="K131"><v>5400</v></cell><cell r="L131"><v>1800</v></cell></row><row r="131"><cell r="N131"><v>18000</v></cell></row><row r="132"><cell r="B132"><v>4947</v></cell><cell r="C132" t="str"><v>DINU GEORGE .</v></cell><cell r="D132" t="str"><v>Area Sales Manager</v></cell><cell r="E132"><v>30000</v></cell><cell r="F132"><v>15000</v></cell><cell r="G132"><v>5000</v></cell><cell r="H132"><v>50000</v></cell><cell r="I132"><v>30</v></cell><cell r="J132"><v>30000</v></cell><cell r="K132"><v>15000</v></cell><cell r="L132"><v>5000</v></cell></row><row r="132"><cell r="N132"><v>50000</v></cell></row></sheetData><sheetData sheetId="1"></sheetData></sheetDataSet></externalBook></externalLink>
</file>

<file path=xl/externalLinks/externalLink4.xml><?xml version="1.0" encoding="UTF-8" standalone="yes"?>
<externalLink xmlns="http://schemas.openxmlformats.org/spreadsheetml/2006/main"><externalBook xmlns:r="http://schemas.openxmlformats.org/officeDocument/2006/relationships" r:id="rId1"><sheetNames><sheetName val="salary aroor"/><sheetName val="rajan sir"/></sheetNames><sheetDataSet><sheetData sheetId="0"><row r="7"><cell r="B7"><v>257</v></cell><cell r="C7" t="str"><v>Deva Panicker .</v></cell><cell r="D7" t="str"><v>AGM - NPD & QA</v></cell><cell r="E7"><v>46878</v></cell><cell r="F7"><v>23439</v></cell><cell r="G7"><v>7813</v></cell><cell r="H7"><v>78130</v></cell><cell r="I7"><v>46878</v></cell><cell r="J7"><v>23439</v></cell><cell r="K7"><v>7813</v></cell><cell r="L7"><v>78130</v></cell></row><row r="8"><cell r="B8"><v>258</v></cell><cell r="C8" t="str"><v>Sujith K B .</v></cell><cell r="D8" t="str"><v>Senior Factory Manager</v></cell><cell r="E8"><v>38244</v></cell><cell r="F8"><v>19122</v></cell><cell r="G8"><v>6374</v></cell><cell r="H8"><v>63740</v></cell><cell r="I8"><v>38244</v></cell><cell r="J8"><v>19122</v></cell><cell r="K8"><v>6374</v></cell><cell r="L8"><v>63740</v></cell></row><row r="9"><cell r="B9"><v>259</v></cell><cell r="C9" t="str"><v>Thomas Abraham .</v></cell><cell r="D9" t="str"><v>Area Sales Manager</v></cell><cell r="E9"><v>26640</v></cell><cell r="F9"><v>13320</v></cell><cell r="G9"><v>4440</v></cell><cell r="H9"><v>44400</v></cell><cell r="I9"><v>26640</v></cell><cell r="J9"><v>13320</v></cell><cell r="K9"><v>4440</v></cell><cell r="L9"><v>44400</v></cell></row><row r="10"><cell r="B10"><v>262</v></cell><cell r="C10" t="str"><v>Jayasankar .</v></cell><cell r="D10" t="str"><v>Manager - Production</v></cell><cell r="E10"><v>33000</v></cell><cell r="F10"><v>16500</v></cell><cell r="G10"><v>5500</v></cell><cell r="H10"><v>55000</v></cell><cell r="I10"><v>33000</v></cell><cell r="J10"><v>16500</v></cell><cell r="K10"><v>5500</v></cell><cell r="L10"><v>55000</v></cell></row><row r="11"><cell r="B11"><v>263</v></cell><cell r="C11" t="str"><v>Jacob P P .</v></cell><cell r="D11" t="str"><v>Sr.Production Executive</v></cell><cell r="E11"><v>21972</v></cell><cell r="F11"><v>10986</v></cell><cell r="G11"><v>3662</v></cell><cell r="H11"><v>36620</v></cell><cell r="I11"><v>21972</v></cell><cell r="J11"><v>10986</v></cell><cell r="K11"><v>3662</v></cell><cell r="L11"><v>36620</v></cell></row><row r="12"><cell r="B12"><v>264</v></cell><cell r="C12" t="str"><v>Lalan K T .</v></cell><cell r="D12" t="str"><v>Sr.Production Executive</v></cell><cell r="E12"><v>22638</v></cell><cell r="F12"><v>11319</v></cell><cell r="G12"><v>3773</v></cell><cell r="H12"><v>37730</v></cell><cell r="I12"><v>22638</v></cell><cell r="J12"><v>11319</v></cell><cell r="K12"><v>3773</v></cell><cell r="L12"><v>37730</v></cell></row><row r="13"><cell r="B13"><v>265</v></cell><cell r="C13" t="str"><v>George Jessil E J .</v></cell><cell r="D13" t="str"><v>Asst.Manager Engineering</v></cell><cell r="E13"><v>24306</v></cell><cell r="F13"><v>12153</v></cell><cell r="G13"><v>4051</v></cell><cell r="H13"><v>40510</v></cell><cell r="I13"><v>24306</v></cell><cell r="J13"><v>12153</v></cell><cell r="K13"><v>4051</v></cell><cell r="L13"><v>40510</v></cell></row><row r="14"><cell r="B14"><v>266</v></cell><cell r="C14" t="str"><v>Udayakumar P K .</v></cell><cell r="D14" t="str"><v>Executive - Innovation</v></cell><cell r="E14"><v>24774</v></cell><cell r="F14"><v>12387</v></cell><cell r="G14"><v>4129</v></cell><cell r="H14"><v>41290</v></cell><cell r="I14"><v>24774</v></cell><cell r="J14"><v>12387</v></cell><cell r="K14"><v>4129</v></cell><cell r="L14"><v>41290</v></cell></row><row r="15"><cell r="B15"><v>271</v></cell><cell r="C15" t="str"><v>Mini P .</v></cell><cell r="D15" t="str"><v>Asst.Manager-Materials</v></cell><cell r="E15"><v>18366</v></cell><cell r="F15"><v>9183</v></cell><cell r="G15"><v>3061</v></cell><cell r="H15"><v>30610</v></cell><cell r="I15"><v>18366</v></cell><cell r="J15"><v>9183</v></cell><cell r="K15"><v>3061</v></cell><cell r="L15"><v>30610</v></cell></row><row r="16"><cell r="B16"><v>274</v></cell><cell r="C16" t="str"><v>Chandrakanth Naik M .</v></cell><cell r="D16" t="str"><v>DY MANAGER - EDP</v></cell><cell r="E16"><v>26982</v></cell><cell r="F16"><v>13491</v></cell><cell r="G16"><v>4497</v></cell><cell r="H16"><v>44970</v></cell><cell r="I16"><v>26982</v></cell><cell r="J16"><v>13491</v></cell><cell r="K16"><v>4497</v></cell><cell r="L16"><v>44970</v></cell></row><row r="17"><cell r="B17"><v>276</v></cell><cell r="C17" t="str"><v>Soman C R .</v></cell><cell r="D17" t="str"><v>Executive - Logistics</v></cell><cell r="E17"><v>16464</v></cell><cell r="F17"><v>8232</v></cell><cell r="G17"><v>2744</v></cell><cell r="H17"><v>27440</v></cell><cell r="I17"><v>16464</v></cell><cell r="J17"><v>8232</v></cell><cell r="K17"><v>2744</v></cell><cell r="L17"><v>27440</v></cell></row><row r="18"><cell r="B18"><v>280</v></cell><cell r="C18" t="str"><v>Sreejith K S .</v></cell><cell r="D18" t="str"><v>Deputy Manager-Purcahse</v></cell><cell r="E18"><v>25230</v></cell><cell r="F18"><v>12615</v></cell><cell r="G18"><v>4205</v></cell><cell r="H18"><v>42050</v></cell><cell r="I18"><v>25230</v></cell><cell r="J18"><v>12615</v></cell><cell r="K18"><v>4205</v></cell><cell r="L18"><v>42050</v></cell></row><row r="19"><cell r="B19"><v>283</v></cell><cell r="C19" t="str"><v>Thankachan P K .</v></cell><cell r="D19" t="str"><v>Executive - Logistics</v></cell><cell r="E19"><v>13494</v></cell><cell r="F19"><v>6747</v></cell><cell r="G19"><v>2249</v></cell><cell r="H19"><v>22490</v></cell><cell r="I19"><v>13494</v></cell><cell r="J19"><v>6747</v></cell><cell r="K19"><v>2249</v></cell><cell r="L19"><v>22490</v></cell></row><row r="20"><cell r="B20"><v>284</v></cell><cell r="C20" t="str"><v>Biju T G .</v></cell><cell r="D20" t="str"><v>Executive - Logistics</v></cell><cell r="E20"><v>14202</v></cell><cell r="F20"><v>7101</v></cell><cell r="G20"><v>2367</v></cell><cell r="H20"><v>23670</v></cell><cell r="I20"><v>14202</v></cell><cell r="J20"><v>7101</v></cell><cell r="K20"><v>2367</v></cell><cell r="L20"><v>23670</v></cell></row><row r="21"><cell r="B21"><v>285</v></cell><cell r="C21" t="str"><v>Santhosh Kumar .</v></cell><cell r="D21" t="str"><v>Territory Sales Executive</v></cell><cell r="E21"><v>17586</v></cell><cell r="F21"><v>8793</v></cell><cell r="G21"><v>2931</v></cell><cell r="H21"><v>29310</v></cell><cell r="I21"><v>17586</v></cell><cell r="J21"><v>8793</v></cell><cell r="K21"><v>2931</v></cell><cell r="L21"><v>29310</v></cell></row><row r="22"><cell r="B22"><v>306</v></cell><cell r="C22" t="str"><v>Subramanian P K .</v></cell><cell r="D22" t="str"><v>Sr.Supervisor-Production</v></cell><cell r="E22"><v>17493</v></cell><cell r="F22"><v>8746.5</v></cell><cell r="G22"><v>2915.5</v></cell><cell r="H22"><v>29155</v></cell><cell r="I22"><v>17493</v></cell><cell r="J22"><v>8746.5</v></cell><cell r="K22"><v>2915.5</v></cell><cell r="L22"><v>29155</v></cell></row><row r="23"><cell r="B23"><v>338</v></cell><cell r="C23" t="str"><v>Mohanan K R .</v></cell><cell r="D23" t="str"><v>Technician</v></cell><cell r="E23"><v>13380</v></cell><cell r="F23"><v>6690</v></cell><cell r="G23"><v>2230</v></cell><cell r="H23"><v>22300</v></cell><cell r="I23"><v>13380</v></cell><cell r="J23"><v>6690</v></cell><cell r="K23"><v>2230</v></cell><cell r="L23"><v>22300</v></cell></row><row r="24"><cell r="B24"><v>340</v></cell><cell r="C24" t="str"><v>Suresh babu .</v></cell><cell r="D24" t="str"><v>Technician</v></cell><cell r="E24"><v>13944</v></cell><cell r="F24"><v>6972</v></cell><cell r="G24"><v>2324</v></cell><cell r="H24"><v>23240</v></cell><cell r="I24"><v>13944</v></cell><cell r="J24"><v>6972</v></cell><cell r="K24"><v>2324</v></cell><cell r="L24"><v>23240</v></cell></row><row r="25"><cell r="B25"><v>342</v></cell><cell r="C25" t="str"><v>Subash K D .</v></cell><cell r="D25" t="str"><v>Technician</v></cell><cell r="E25"><v>13524</v></cell><cell r="F25"><v>6762</v></cell><cell r="G25"><v>2254</v></cell><cell r="H25"><v>22540</v></cell><cell r="I25"><v>13524</v></cell><cell r="J25"><v>6762</v></cell><cell r="K25"><v>2254</v></cell><cell r="L25"><v>22540</v></cell></row><row r="26"><cell r="B26"><v>1302</v></cell><cell r="C26" t="str"><v>Dany Joseph</v></cell><cell r="D26" t="str"><v>Accounts Asst.</v></cell><cell r="E26"><v>13560</v></cell><cell r="F26"><v>6780</v></cell><cell r="G26"><v>2260</v></cell><cell r="H26"><v>22600</v></cell><cell r="I26"><v>13560</v></cell><cell r="J26"><v>6780</v></cell><cell r="K26"><v>2260</v></cell><cell r="L26"><v>22600</v></cell></row><row r="27"><cell r="B27"><v>1335</v></cell><cell r="C27" t="str"><v>Sajeendran C G</v></cell><cell r="D27" t="str"><v>Sr.Manager-Commercial</v></cell><cell r="E27"><v>53600</v></cell><cell r="F27"><v>26800</v></cell><cell r="G27"><v>8933</v></cell><cell r="H27"><v>89333</v></cell><cell r="I27"><v>53600</v></cell><cell r="J27"><v>26800</v></cell><cell r="K27"><v>8933</v></cell><cell r="L27"><v>89333</v></cell></row><row r="28"><cell r="B28"><v>1345</v></cell><cell r="C28" t="str"><v>Anoopkumar.P .</v></cell><cell r="D28" t="str"><v>Executive Credit Controll</v></cell><cell r="E28"><v>21126</v></cell><cell r="F28"><v>10563</v></cell><cell r="G28"><v>3521</v></cell><cell r="H28"><v>35210</v></cell><cell r="I28"><v>21126</v></cell><cell r="J28"><v>10563</v></cell><cell r="K28"><v>3521</v></cell><cell r="L28"><v>35210</v></cell></row><row r="29"><cell r="B29"><v>1467</v></cell><cell r="C29" t="str"><v>Selvan  R</v></cell><cell r="D29" t="str"><v>Territory Sales Manager</v></cell><cell r="E29"><v>17460</v></cell><cell r="F29"><v>8730</v></cell><cell r="G29"><v>2910</v></cell><cell r="H29"><v>29100</v></cell><cell r="I29"><v>17460</v></cell><cell r="J29"><v>8730</v></cell><cell r="K29"><v>2910</v></cell><cell r="L29"><v>29100</v></cell></row><row r="30"><cell r="B30"><v>1834</v></cell><cell r="C30" t="str"><v>K T Chanthu</v></cell><cell r="D30" t="str"><v>Accounts Asst.</v></cell><cell r="E30"><v>10596</v></cell><cell r="F30"><v>5298</v></cell><cell r="G30"><v>1766</v></cell><cell r="H30"><v>17660</v></cell><cell r="I30"><v>7064</v></cell><cell r="J30"><v>5298</v></cell><cell r="K30"><v>1177.33</v></cell><cell r="L30"><v>13539.33</v></cell></row><row r="31"><cell r="B31"><v>2117</v></cell><cell r="C31" t="str"><v>Sujeesh Babu</v></cell><cell r="D31" t="str"><v>Despatch Clerk</v></cell><cell r="E31"><v>10608</v></cell><cell r="F31"><v>5304</v></cell><cell r="G31"><v>1768</v></cell><cell r="H31"><v>17680</v></cell><cell r="I31"><v>10608</v></cell><cell r="J31"><v>5304</v></cell><cell r="K31"><v>1768</v></cell><cell r="L31"><v>17680</v></cell></row><row r="32"><cell r="B32"><v>2447</v></cell><cell r="C32" t="str"><v>Jithinraj T.R.</v></cell><cell r="D32" t="str"><v>Assistant Despatch</v></cell><cell r="E32"><v>7770</v></cell><cell r="F32"><v>3885</v></cell><cell r="G32"><v>1295</v></cell><cell r="H32"><v>12950</v></cell><cell r="I32"><v>7770</v></cell><cell r="J32"><v>3885</v></cell><cell r="K32"><v>1295</v></cell><cell r="L32"><v>12950</v></cell></row><row r="33"><cell r="B33"><v>2450</v></cell><cell r="C33" t="str"><v>Johny Jose</v></cell><cell r="D33" t="str"><v>Assistant Despatch</v></cell><cell r="E33"><v>7314</v></cell><cell r="F33"><v>3657</v></cell><cell r="G33"><v>1219</v></cell><cell r="H33"><v>12190</v></cell><cell r="I33"><v>7314</v></cell><cell r="J33"><v>3657</v></cell><cell r="K33"><v>1219</v></cell><cell r="L33"><v>12190</v></cell></row><row r="34"><cell r="B34"><v>2451</v></cell><cell r="C34" t="str"><v>Prasanth K.P.</v></cell><cell r="D34" t="str"><v>Assistant Despatch</v></cell><cell r="E34"><v>7212</v></cell><cell r="F34"><v>3606</v></cell><cell r="G34"><v>1202</v></cell><cell r="H34"><v>12020</v></cell><cell r="I34"><v>7212</v></cell><cell r="J34"><v>3606</v></cell><cell r="K34"><v>1202</v></cell><cell r="L34"><v>12020</v></cell></row><row r="35"><cell r="B35"><v>2690</v></cell><cell r="C35" t="str"><v>Gireeshkumar A</v></cell><cell r="D35" t="str"><v>Territory Sales Manager</v></cell><cell r="E35"><v>13896</v></cell><cell r="F35"><v>6948</v></cell><cell r="G35"><v>2316</v></cell><cell r="H35"><v>23160</v></cell><cell r="I35"><v>13896</v></cell><cell r="J35"><v>6948</v></cell><cell r="K35"><v>2316</v></cell><cell r="L35"><v>23160</v></cell></row><row r="36"><cell r="B36"><v>2721</v></cell><cell r="C36" t="str"><v>Joseph J</v></cell><cell r="D36" t="str"><v>Jr.Executive Accounts</v></cell><cell r="E36"><v>11550</v></cell><cell r="F36"><v>5775</v></cell><cell r="G36"><v>1925</v></cell><cell r="H36"><v>19250</v></cell><cell r="I36"><v>11550</v></cell><cell r="J36"><v>5775</v></cell><cell r="K36"><v>1925</v></cell><cell r="L36"><v>19250</v></cell></row><row r="37"><cell r="B37"><v>2881</v></cell><cell r="C37" t="str"><v>Sujith V.I</v></cell><cell r="D37" t="str"><v>Jr.Executive- Quality</v></cell><cell r="E37"><v>8736</v></cell><cell r="F37"><v>4368</v></cell><cell r="G37"><v>1456</v></cell><cell r="H37"><v>14560</v></cell><cell r="I37"><v>8736</v></cell><cell r="J37"><v>4368</v></cell><cell r="K37"><v>1456</v></cell><cell r="L37"><v>14560</v></cell></row><row r="38"><cell r="B38"><v>3607</v></cell><cell r="C38" t="str"><v>SHIJITH.P.S .</v></cell><cell r="D38" t="str"><v>Jr.Executive stores</v></cell><cell r="E38"><v>10974</v></cell><cell r="F38"><v>5487</v></cell><cell r="G38"><v>1829</v></cell><cell r="H38"><v>18290</v></cell><cell r="I38"><v>10974</v></cell><cell r="J38"><v>5487</v></cell><cell r="K38"><v>1829</v></cell><cell r="L38"><v>18290</v></cell></row><row r="39"><cell r="B39"><v>3610</v></cell><cell r="C39" t="str"><v>JAYAKUMAR.S .</v></cell><cell r="D39" t="str"><v>Territory Sales Exe.-Koll</v></cell><cell r="E39"><v>11592</v></cell><cell r="F39"><v>5796</v></cell><cell r="G39"><v>1932</v></cell><cell r="H39"><v>19320</v></cell><cell r="I39"><v>11592</v></cell><cell r="J39"><v>5796</v></cell><cell r="K39"><v>1932</v></cell><cell r="L39"><v>19320</v></cell></row><row r="40"><cell r="B40"><v>3612</v></cell><cell r="C40" t="str"><v>JAYAKUMAR.R .</v></cell><cell r="D40" t="str"><v>SR SUPERVISOR security</v></cell><cell r="E40"><v>14454</v></cell><cell r="F40"><v>7227</v></cell><cell r="G40"><v>2409</v></cell><cell r="H40"><v>24090</v></cell><cell r="I40"><v>14454</v></cell><cell r="J40"><v>7227</v></cell><cell r="K40"><v>2409</v></cell><cell r="L40"><v>24090</v></cell></row><row r="41"><cell r="B41"><v>3613</v></cell><cell r="C41" t="str"><v>SANDEEP.S .</v></cell><cell r="D41" t="str"><v>Administrative Asst.</v></cell><cell r="E41"><v>7032</v></cell><cell r="F41"><v>3516</v></cell><cell r="G41"><v>1172</v></cell><cell r="H41"><v>11720</v></cell><cell r="I41"><v>7032</v></cell><cell r="J41"><v>3516</v></cell><cell r="K41"><v>1172</v></cell><cell r="L41"><v>11720</v></cell></row><row r="42"><cell r="B42"><v>3615</v></cell><cell r="C42" t="str"><v>ACHARI SANOJKUMAR.M .</v></cell><cell r="D42" t="str"><v>SR SUPERVISOR MAINTENANCE</v></cell><cell r="E42"><v>16662</v></cell><cell r="F42"><v>8331</v></cell><cell r="G42"><v>2777</v></cell><cell r="H42"><v>27770</v></cell><cell r="I42"><v>16662</v></cell><cell r="J42"><v>8331</v></cell><cell r="K42"><v>2777</v></cell><cell r="L42"><v>27770</v></cell></row><row r="43"><cell r="B43"><v>3872</v></cell><cell r="C43" t="str"><v>Akhil Das H .</v></cell><cell r="D43" t="str"><v>Jr.Exe.-Food Safety & Qua</v></cell><cell r="E43"><v>6918</v></cell><cell r="F43"><v>3459</v></cell><cell r="G43"><v>1153</v></cell><cell r="H43"><v>11530</v></cell><cell r="I43"><v>6918</v></cell><cell r="J43"><v>3459</v></cell><cell r="K43"><v>1153</v></cell><cell r="L43"><v>11530</v></cell></row><row r="44"><cell r="B44"><v>3981</v></cell><cell r="C44" t="str"><v>VISHNU.A.V .</v></cell><cell r="D44" t="str"><v>Assistant-Logistics</v></cell><cell r="E44"><v>7200</v></cell><cell r="F44"><v>3600</v></cell><cell r="G44"><v>1200</v></cell><cell r="H44"><v>12000</v></cell><cell r="I44"><v>7200</v></cell><cell r="J44"><v>3600</v></cell><cell r="K44"><v>1200</v></cell><cell r="L44"><v>12000</v></cell></row><row r="45"><cell r="B45"><v>4106</v></cell><cell r="C45" t="str"><v>SUDHEESH.M.S .</v></cell><cell r="D45" t="str"><v>Trainee-Logistic</v></cell><cell r="E45"><v>6000</v></cell><cell r="F45"><v>3000</v></cell><cell r="G45"><v>1000</v></cell><cell r="H45"><v>10000</v></cell><cell r="I45"><v>6000</v></cell><cell r="J45"><v>3000</v></cell><cell r="K45"><v>1000</v></cell><cell r="L45"><v>10000</v></cell></row><row r="46"><cell r="B46"><v>4145</v></cell><cell r="C46" t="str"><v>RAJESH.M .</v></cell><cell r="D46" t="str"><v>Assistant-Materials</v></cell><cell r="E46"><v>9600</v></cell><cell r="F46"><v>4800</v></cell><cell r="G46"><v>1600</v></cell><cell r="H46"><v>16000</v></cell><cell r="I46"><v>9600</v></cell><cell r="J46"><v>4800</v></cell><cell r="K46"><v>1600</v></cell><cell r="L46"><v>16000</v></cell></row><row r="47"><cell r="B47"><v>4445</v></cell><cell r="C47" t="str"><v>VINEETH VIKRAMAN.K .</v></cell><cell r="D47" t="str"><v>Territory Sales Exe.-Erna</v></cell><cell r="E47"><v>9600</v></cell><cell r="F47"><v>4800</v></cell><cell r="G47"><v>1600</v></cell><cell r="H47"><v>16000</v></cell><cell r="I47"><v>9600</v></cell><cell r="J47"><v>4800</v></cell><cell r="K47"><v>1600</v></cell><cell r="L47"><v>16000</v></cell></row><row r="48"><cell r="B48"><v>4535</v></cell><cell r="C48" t="str"><v>ABHILASH.P .</v></cell><cell r="D48" t="str"><v>Jr.Exe.-Food Safety & Qua</v></cell><cell r="E48"><v>7500</v></cell><cell r="F48"><v>3750</v></cell><cell r="G48"><v>1250</v></cell><cell r="H48"><v>12500</v></cell><cell r="I48"><v>7250</v></cell><cell r="J48"><v>3750</v></cell><cell r="K48"><v>1208.33</v></cell><cell r="L48"><v>12208.33</v></cell></row><row r="49"><cell r="B49"><v>4582</v></cell><cell r="C49" t="str"><v>LITHIN LAKSHMANAN .</v></cell><cell r="D49" t="str"><v>Trainee-Food Safety & QA</v></cell><cell r="E49"><v>5400</v></cell><cell r="F49"><v>2700</v></cell><cell r="G49"><v>900</v></cell><cell r="H49"><v>9000</v></cell><cell r="I49"><v>5040</v></cell><cell r="J49"><v>2700</v></cell><cell r="K49"><v>840</v></cell><cell r="L49"><v>8580</v></cell></row><row r="50"><cell r="B50"><v>4960</v></cell><cell r="C50" t="str"><v>ANU.E.J .</v></cell><cell r="D50" t="str"><v>Sales Representative</v></cell><cell r="E50"><v>7500</v></cell><cell r="F50"><v>3750</v></cell><cell r="G50"><v>1250</v></cell><cell r="H50"><v>12500</v></cell><cell r="I50"><v>5250</v></cell><cell r="J50"><v>3750</v></cell><cell r="K50"><v>875</v></cell><cell r="L50"><v>9875</v></cell></row><row r="51"><cell r="B51"><v>4961</v></cell><cell r="C51" t="str"><v>VIPIN KUMAR.V .</v></cell><cell r="D51" t="str"><v>Sales Representative</v></cell><cell r="E51"><v>7800</v></cell><cell r="F51"><v>3900</v></cell><cell r="G51"><v>1300</v></cell><cell r="H51"><v>13000</v></cell><cell r="I51"><v>5460</v></cell><cell r="J51"><v>3900</v></cell><cell r="K51"><v>910</v></cell><cell r="L51"><v>10270</v></cell></row><row r="52"><cell r="B52"><v>5005</v></cell><cell r="C52" t="str"><v>ROSHIL.K.S .</v></cell><cell r="D52" t="str"><v>Sales Representative</v></cell><cell r="E52"><v>7800</v></cell><cell r="F52"><v>3900</v></cell><cell r="G52"><v>1300</v></cell><cell r="H52"><v>13000</v></cell><cell r="I52"><v>2600</v></cell><cell r="J52"><v>3900</v></cell><cell r="K52"><v>433.33</v></cell><cell r="L52"><v>6933.33</v></cell></row></sheetData><sheetData sheetId="1"></sheetData></sheetDataSet></externalBook></externalLink>
</file>

<file path=xl/externalLinks/externalLink5.xml><?xml version="1.0" encoding="UTF-8" standalone="yes"?>
<externalLink xmlns="http://schemas.openxmlformats.org/spreadsheetml/2006/main"><externalBook xmlns:r="http://schemas.openxmlformats.org/officeDocument/2006/relationships" r:id="rId1"><sheetNames><sheetName val="Hosur-Apr&apos;18"/></sheetNames><sheetDataSet><sheetData sheetId="0"><row r="5"><cell r="B5"><v>3622</v></cell><cell r="C5" t="str"><v>SUDEESH.T.P .</v></cell><cell r="D5" t="str"><v>Asst.Manager-Production</v></cell><cell r="E5"><v>20181</v></cell><cell r="F5"><v>5766</v></cell><cell r="G5"><v>2883</v></cell><cell r="H5"><v>28830</v></cell></row><row r="5"><cell r="J5"><v>20181</v></cell><cell r="K5"><v>5766</v></cell><cell r="L5"><v>2883</v></cell><cell r="M5"><v>28830</v></cell></row><row r="6"><cell r="B6"><v>3625</v></cell><cell r="C6" t="str"><v>ANUMUTHU.G .</v></cell><cell r="D6" t="str"><v>Electrician</v></cell><cell r="E6"><v>10437</v></cell><cell r="F6"><v>2982</v></cell><cell r="G6"><v>1491</v></cell><cell r="H6"><v>14910</v></cell></row><row r="6"><cell r="J6"><v>10437</v></cell><cell r="K6"><v>2982</v></cell><cell r="L6"><v>1491</v></cell><cell r="M6"><v>14910</v></cell></row><row r="7"><cell r="B7"><v>3626</v></cell><cell r="C7" t="str"><v>RAMALINGAM.M .</v></cell><cell r="D7" t="str"><v>Sr.Technician-Mechanical</v></cell><cell r="E7"><v>14245</v></cell><cell r="F7"><v>4070</v></cell><cell r="G7"><v>2035</v></cell><cell r="H7"><v>20350</v></cell></row><row r="7"><cell r="J7"><v>14245</v></cell><cell r="K7"><v>4070</v></cell><cell r="L7"><v>2035</v></cell><cell r="M7"><v>20350</v></cell></row><row r="8"><cell r="B8"><v>3627</v></cell><cell r="C8" t="str"><v>BASANTO.B .</v></cell><cell r="D8" t="str"><v>TECHNICIAN-Maintenance</v></cell><cell r="E8"><v>11522</v></cell><cell r="F8"><v>3292</v></cell><cell r="G8"><v>1646</v></cell><cell r="H8"><v>16460</v></cell></row><row r="8"><cell r="J8"><v>11522</v></cell><cell r="K8"><v>3292</v></cell><cell r="L8"><v>1646</v></cell><cell r="M8"><v>16460</v></cell></row><row r="9"><cell r="B9"><v>3630</v></cell><cell r="C9" t="str"><v>MURALIDHARAN.B.S .</v></cell><cell r="D9" t="str"><v>Supervisor-Production</v></cell><cell r="E9"><v>14224</v></cell><cell r="F9"><v>4064</v></cell><cell r="G9"><v>2032</v></cell><cell r="H9"><v>20320</v></cell></row><row r="9"><cell r="J9"><v>14224</v></cell><cell r="K9"><v>4064</v></cell><cell r="L9"><v>2032</v></cell><cell r="M9"><v>20320</v></cell></row><row r="10"><cell r="B10"><v>3631</v></cell><cell r="C10" t="str"><v>ALEX PANDIYAN.P .</v></cell><cell r="D10" t="str"><v>Sr.Supervisor-Electrical</v></cell><cell r="E10"><v>17976</v></cell><cell r="F10"><v>5136</v></cell><cell r="G10"><v>2568</v></cell><cell r="H10"><v>25680</v></cell></row><row r="10"><cell r="J10"><v>17976</v></cell><cell r="K10"><v>5136</v></cell><cell r="L10"><v>2568</v></cell><cell r="M10"><v>25680</v></cell></row><row r="11"><cell r="B11"><v>3632</v></cell><cell r="C11" t="str"><v>BIJU.K.THOMAS .</v></cell><cell r="D11" t="str"><v>AGM - Operations</v></cell><cell r="E11"><v>101248</v></cell><cell r="F11"><v>28928</v></cell><cell r="G11"><v>14464</v></cell><cell r="H11"><v>144640</v></cell><cell r="I11"><v>19130</v></cell><cell r="J11"><v>101248</v></cell><cell r="K11"><v>28928</v></cell><cell r="L11"><v>14464</v></cell><cell r="M11"><v>144640</v></cell></row><row r="12"><cell r="B12"><v>3633</v></cell><cell r="C12" t="str"><v>SATHEESH.C .</v></cell><cell r="D12" t="str"><v>EXECUTIVE PRODUCTION</v></cell><cell r="E12"><v>15729</v></cell><cell r="F12"><v>4494</v></cell><cell r="G12"><v>2247</v></cell><cell r="H12"><v>22470</v></cell></row><row r="12"><cell r="J12"><v>15729</v></cell><cell r="K12"><v>4494</v></cell><cell r="L12"><v>2247</v></cell><cell r="M12"><v>22470</v></cell></row><row r="13"><cell r="B13"><v>3634</v></cell><cell r="C13" t="str"><v>SUDHANSHU SEKHAR PAHI .</v></cell><cell r="D13" t="str"><v>Jr.Executive-Stores</v></cell><cell r="E13"><v>12950</v></cell><cell r="F13"><v>3700</v></cell><cell r="G13"><v>1850</v></cell><cell r="H13"><v>18500</v></cell></row><row r="13"><cell r="J13"><v>12950</v></cell><cell r="K13"><v>3700</v></cell><cell r="L13"><v>1850</v></cell><cell r="M13"><v>18500</v></cell></row><row r="14"><cell r="B14"><v>3635</v></cell><cell r="C14" t="str"><v>Karthikeyan.M.P .</v></cell><cell r="D14" t="str"><v>Executive - Food Safety &</v></cell><cell r="E14"><v>13412</v></cell><cell r="F14"><v>3832</v></cell><cell r="G14"><v>1916</v></cell><cell r="H14"><v>19160</v></cell></row><row r="14"><cell r="J14"><v>13412</v></cell><cell r="K14"><v>3832</v></cell><cell r="L14"><v>1916</v></cell><cell r="M14"><v>19160</v></cell></row><row r="15"><cell r="B15"><v>3639</v></cell><cell r="C15" t="str"><v>Joraj James .</v></cell><cell r="D15" t="str"><v>Executive-Maintenance</v></cell><cell r="E15"><v>19789</v></cell><cell r="F15"><v>5654</v></cell><cell r="G15"><v>2827</v></cell><cell r="H15"><v>28270</v></cell></row><row r="15"><cell r="J15"><v>19789</v></cell><cell r="K15"><v>5654</v></cell><cell r="L15"><v>2827</v></cell><cell r="M15"><v>28270</v></cell></row><row r="16"><cell r="B16"><v>3640</v></cell><cell r="C16" t="str"><v>VIJESH.P.T .</v></cell><cell r="D16" t="str"><v>EXECUTIVE PRODUCTION</v></cell><cell r="E16"><v>14889</v></cell><cell r="F16"><v>4254</v></cell><cell r="G16"><v>2127</v></cell><cell r="H16"><v>21270</v></cell></row><row r="16"><cell r="J16"><v>14889</v></cell><cell r="K16"><v>4254</v></cell><cell r="L16"><v>2127</v></cell><cell r="M16"><v>21270</v></cell></row><row r="17"><cell r="B17"><v>3641</v></cell><cell r="C17" t="str"><v>HARIBABU.G .</v></cell><cell r="D17" t="str"><v>Sr.Supervisor - Maintenan</v></cell><cell r="E17"><v>19782</v></cell><cell r="F17"><v>5652</v></cell><cell r="G17"><v>2826</v></cell><cell r="H17"><v>28260</v></cell></row><row r="17"><cell r="J17"><v>19782</v></cell><cell r="K17"><v>5652</v></cell><cell r="L17"><v>2826</v></cell><cell r="M17"><v>28260</v></cell></row><row r="18"><cell r="B18"><v>3644</v></cell><cell r="C18" t="str"><v>Jothi Babu.K .</v></cell><cell r="D18" t="str"><v>EXECUTIVE PRODUCTION</v></cell><cell r="E18"><v>18634</v></cell><cell r="F18"><v>5324</v></cell><cell r="G18"><v>2662</v></cell><cell r="H18"><v>26620</v></cell></row><row r="18"><cell r="J18"><v>18634</v></cell><cell r="K18"><v>5324</v></cell><cell r="L18"><v>2662</v></cell><cell r="M18"><v>26620</v></cell></row><row r="19"><cell r="B19"><v>3645</v></cell><cell r="C19" t="str"><v>MOHANDAS.P.P .</v></cell><cell r="D19" t="str"><v>Jr.Executive-Production</v></cell><cell r="E19"><v>18375</v></cell><cell r="F19"><v>5250</v></cell><cell r="G19"><v>2625</v></cell><cell r="H19"><v>26250</v></cell></row><row r="19"><cell r="J19"><v>18375</v></cell><cell r="K19"><v>5250</v></cell><cell r="L19"><v>2625</v></cell><cell r="M19"><v>26250</v></cell></row><row r="20"><cell r="B20"><v>3646</v></cell><cell r="C20" t="str"><v>Arun.V .</v></cell><cell r="D20" t="str"><v>TECHNICIAN-Mechanical</v></cell><cell r="E20"><v>11179</v></cell><cell r="F20"><v>3194</v></cell><cell r="G20"><v>1597</v></cell><cell r="H20"><v>15970</v></cell></row><row r="20"><cell r="J20"><v>11179</v></cell><cell r="K20"><v>3194</v></cell><cell r="L20"><v>1597</v></cell><cell r="M20"><v>15970</v></cell></row><row r="21"><cell r="B21"><v>3647</v></cell><cell r="C21" t="str"><v>ANBARASAN.M .</v></cell><cell r="D21" t="str"><v>EXECUTIVE STORES</v></cell><cell r="E21"><v>13825</v></cell><cell r="F21"><v>3950</v></cell><cell r="G21"><v>1975</v></cell><cell r="H21"><v>19750</v></cell></row><row r="21"><cell r="J21"><v>13825</v></cell><cell r="K21"><v>3950</v></cell><cell r="L21"><v>1975</v></cell><cell r="M21"><v>19750</v></cell></row><row r="22"><cell r="B22"><v>3650</v></cell><cell r="C22" t="str"><v>Narayanan.P.M .</v></cell><cell r="D22" t="str"><v>Asst.Manager-Welfare</v></cell><cell r="E22"><v>29400</v></cell><cell r="F22"><v>8400</v></cell><cell r="G22"><v>4200</v></cell><cell r="H22"><v>42000</v></cell></row><row r="22"><cell r="J22"><v>29400</v></cell><cell r="K22"><v>8400</v></cell><cell r="L22"><v>4200</v></cell><cell r="M22"><v>42000</v></cell></row><row r="23"><cell r="B23"><v>3651</v></cell><cell r="C23" t="str"><v>Anil.R .</v></cell><cell r="D23" t="str"><v>Sr.Manager-H.R</v></cell><cell r="E23"><v>47432</v></cell><cell r="F23"><v>13552</v></cell><cell r="G23"><v>6776</v></cell><cell r="H23"><v>67760</v></cell></row><row r="23"><cell r="J23"><v>47432</v></cell><cell r="K23"><v>13552</v></cell><cell r="L23"><v>6776</v></cell><cell r="M23"><v>67760</v></cell></row><row r="24"><cell r="B24"><v>3652</v></cell><cell r="C24" t="str"><v>ANBARASAN.D .</v></cell><cell r="D24" t="str"><v>Dy.Manager-Maintenance</v></cell><cell r="E24"><v>34482</v></cell><cell r="F24"><v>9852</v></cell><cell r="G24"><v>4926</v></cell><cell r="H24"><v>49260</v></cell></row><row r="24"><cell r="J24"><v>34482</v></cell><cell r="K24"><v>9852</v></cell><cell r="L24"><v>4926</v></cell><cell r="M24"><v>49260</v></cell></row><row r="25"><cell r="B25"><v>3654</v></cell><cell r="C25" t="str"><v>Biplab Rout .</v></cell><cell r="D25" t="str"><v>Asst.Maintenance</v></cell><cell r="E25"><v>7861</v></cell><cell r="F25"><v>2246</v></cell><cell r="G25"><v>1123</v></cell><cell r="H25"><v>11230</v></cell></row><row r="25"><cell r="J25"><v>7861</v></cell><cell r="K25"><v>2246</v></cell><cell r="L25"><v>1123</v></cell><cell r="M25"><v>11230</v></cell></row><row r="26"><cell r="B26"><v>3655</v></cell><cell r="C26" t="str"><v>Prasath Kumar.M .</v></cell><cell r="D26" t="str"><v>Jr.Executive - Purchase</v></cell><cell r="E26"><v>11746</v></cell><cell r="F26"><v>3356</v></cell><cell r="G26"><v>1678</v></cell><cell r="H26"><v>16780</v></cell></row><row r="26"><cell r="J26"><v>11746</v></cell><cell r="K26"><v>3356</v></cell><cell r="L26"><v>1678</v></cell><cell r="M26"><v>16780</v></cell></row><row r="27"><cell r="B27"><v>3656</v></cell><cell r="C27" t="str"><v>MADHURAJ.K .</v></cell><cell r="D27" t="str"><v>Junior Exexcutive-Logisti</v></cell><cell r="E27"><v>14413</v></cell><cell r="F27"><v>4118</v></cell><cell r="G27"><v>2059</v></cell><cell r="H27"><v>20590</v></cell></row><row r="27"><cell r="J27"><v>14413</v></cell><cell r="K27"><v>4118</v></cell><cell r="L27"><v>2059</v></cell><cell r="M27"><v>20590</v></cell></row><row r="28"><cell r="B28"><v>3658</v></cell><cell r="C28" t="str"><v>Rajeev.M.B .</v></cell><cell r="D28" t="str"><v>Supervisor - Electrical</v></cell><cell r="E28"><v>12145</v></cell><cell r="F28"><v>3470</v></cell><cell r="G28"><v>1735</v></cell><cell r="H28"><v>17350</v></cell></row><row r="28"><cell r="J28"><v>12145</v></cell><cell r="K28"><v>3470</v></cell><cell r="L28"><v>1735</v></cell><cell r="M28"><v>17350</v></cell></row><row r="29"><cell r="B29"><v>3662</v></cell><cell r="C29" t="str"><v>Sathish Kumar.R .</v></cell><cell r="D29" t="str"><v>EXECUTIVE PURCHASE</v></cell><cell r="E29"><v>18648</v></cell><cell r="F29"><v>5328</v></cell><cell r="G29"><v>2664</v></cell><cell r="H29"><v>26640</v></cell></row><row r="29"><cell r="J29"><v>18648</v></cell><cell r="K29"><v>5328</v></cell><cell r="L29"><v>2664</v></cell><cell r="M29"><v>26640</v></cell></row><row r="30"><cell r="B30"><v>3663</v></cell><cell r="C30" t="str"><v>Prince Joseph .</v></cell><cell r="D30" t="str"><v>Sr.Executive- Accounts</v></cell><cell r="E30"><v>18648</v></cell><cell r="F30"><v>5328</v></cell><cell r="G30"><v>2664</v></cell><cell r="H30"><v>26640</v></cell></row><row r="30"><cell r="J30"><v>18648</v></cell><cell r="K30"><v>5328</v></cell><cell r="L30"><v>2664</v></cell><cell r="M30"><v>26640</v></cell></row><row r="31"><cell r="B31"><v>3664</v></cell><cell r="C31" t="str"><v>SANTHOSH KUMAR.C .</v></cell><cell r="D31" t="str"><v>Dy.Manager-Commercial</v></cell><cell r="E31"><v>38766</v></cell><cell r="F31"><v>11076</v></cell><cell r="G31"><v>5538</v></cell><cell r="H31"><v>55380</v></cell></row><row r="31"><cell r="J31"><v>38766</v></cell><cell r="K31"><v>11076</v></cell><cell r="L31"><v>5538</v></cell><cell r="M31"><v>55380</v></cell></row><row r="32"><cell r="B32"><v>3668</v></cell><cell r="C32" t="str"><v>GOVIND MISHRA .</v></cell><cell r="D32" t="str"><v>Junior Exexcutive-Logisti</v></cell><cell r="E32"><v>13251</v></cell><cell r="F32"><v>3786</v></cell><cell r="G32"><v>1893</v></cell><cell r="H32"><v>18930</v></cell></row><row r="32"><cell r="J32"><v>13251</v></cell><cell r="K32"><v>3786</v></cell><cell r="L32"><v>1893</v></cell><cell r="M32"><v>18930</v></cell></row><row r="33"><cell r="B33"><v>3671</v></cell><cell r="C33" t="str"><v>HARIHARAN .</v></cell><cell r="D33" t="str"><v>Executive-Logistics</v></cell><cell r="E33"><v>14973</v></cell><cell r="F33"><v>4278</v></cell><cell r="G33"><v>2139</v></cell><cell r="H33"><v>21390</v></cell></row><row r="33"><cell r="J33"><v>14973</v></cell><cell r="K33"><v>4278</v></cell><cell r="L33"><v>2139</v></cell><cell r="M33"><v>21390</v></cell></row><row r="34"><cell r="B34"><v>3672</v></cell><cell r="C34" t="str"><v>ARUN KUMAR.P .</v></cell><cell r="D34" t="str"><v>Junior Executive-Accounts</v></cell><cell r="E34"><v>13083</v></cell><cell r="F34"><v>3738</v></cell><cell r="G34"><v>1869</v></cell><cell r="H34"><v>18690</v></cell></row><row r="34"><cell r="J34"><v>13083</v></cell><cell r="K34"><v>3738</v></cell><cell r="L34"><v>1869</v></cell><cell r="M34"><v>18690</v></cell></row><row r="35"><cell r="B35"><v>3673</v></cell><cell r="C35" t="str"><v>RAMACHANDRAN.P .</v></cell><cell r="D35" t="str"><v>Jr.Executive-Stores</v></cell><cell r="E35"><v>11417</v></cell><cell r="F35"><v>3262</v></cell><cell r="G35"><v>1631</v></cell><cell r="H35"><v>16310</v></cell></row><row r="35"><cell r="J35"><v>11417</v></cell><cell r="K35"><v>3262</v></cell><cell r="L35"><v>1631</v></cell><cell r="M35"><v>16310</v></cell></row><row r="36"><cell r="B36"><v>3674</v></cell><cell r="C36" t="str"><v>Sudhakar.R .</v></cell><cell r="D36" t="str"><v>Executive - Commercial</v></cell><cell r="E36"><v>14105</v></cell><cell r="F36"><v>4030</v></cell><cell r="G36"><v>2015</v></cell><cell r="H36"><v>20150</v></cell></row><row r="36"><cell r="J36"><v>14105</v></cell><cell r="K36"><v>4030</v></cell><cell r="L36"><v>2015</v></cell><cell r="M36"><v>20150</v></cell></row><row r="37"><cell r="B37"><v>3675</v></cell><cell r="C37" t="str"><v>Manoj Kumar Behara .</v></cell><cell r="D37" t="str"><v>Asst.Maintenance</v></cell><cell r="E37"><v>8876</v></cell><cell r="F37"><v>2536</v></cell><cell r="G37"><v>1268</v></cell><cell r="H37"><v>12680</v></cell></row><row r="37"><cell r="J37"><v>8876</v></cell><cell r="K37"><v>2536</v></cell><cell r="L37"><v>1268</v></cell><cell r="M37"><v>12680</v></cell></row><row r="38"><cell r="B38"><v>3681</v></cell><cell r="C38" t="str"><v>SHIVAMURTHY .</v></cell><cell r="D38" t="str"><v>Territory Sales Executive</v></cell><cell r="E38"><v>10857</v></cell><cell r="F38"><v>3102</v></cell><cell r="G38"><v>1551</v></cell><cell r="H38"><v>15510</v></cell></row><row r="38"><cell r="J38"><v>10857</v></cell><cell r="K38"><v>3102</v></cell><cell r="L38"><v>1551</v></cell><cell r="M38"><v>15510</v></cell></row><row r="39"><cell r="B39"><v>3682</v></cell><cell r="C39" t="str"><v>Anish.K.L .</v></cell><cell r="D39" t="str"><v>Senior Executive Producti</v></cell><cell r="E39"><v>22610</v></cell><cell r="F39"><v>6460</v></cell><cell r="G39"><v>3230</v></cell><cell r="H39"><v>32300</v></cell></row><row r="39"><cell r="J39"><v>22610</v></cell><cell r="K39"><v>6460</v></cell><cell r="L39"><v>3230</v></cell><cell r="M39"><v>32300</v></cell></row><row r="40"><cell r="B40"><v>3683</v></cell><cell r="C40" t="str"><v>SOWNTHAR .</v></cell><cell r="D40" t="str"><v>Asst.Maintenance</v></cell><cell r="E40"><v>8022</v></cell><cell r="F40"><v>2292</v></cell><cell r="G40"><v>1146</v></cell><cell r="H40"><v>11460</v></cell></row><row r="40"><cell r="J40"><v>8022</v></cell><cell r="K40"><v>2292</v></cell><cell r="L40"><v>1146</v></cell><cell r="M40"><v>11460</v></cell></row><row r="41"><cell r="B41"><v>3684</v></cell><cell r="C41" t="str"><v>SRIDHAR.R .</v></cell><cell r="D41" t="str"><v>Jr.Executive-Stores</v></cell><cell r="E41"><v>13405</v></cell><cell r="F41"><v>3830</v></cell><cell r="G41"><v>1915</v></cell><cell r="H41"><v>19150</v></cell></row><row r="41"><cell r="J41"><v>13405</v></cell><cell r="K41"><v>3830</v></cell><cell r="L41"><v>1915</v></cell><cell r="M41"><v>19150</v></cell></row><row r="42"><cell r="B42"><v>3687</v></cell><cell r="C42" t="str"><v>Santhosh Naidu.N .</v></cell><cell r="D42" t="str"><v>Sr.Assistant -Logistics</v></cell><cell r="E42"><v>11893</v></cell><cell r="F42"><v>3398</v></cell><cell r="G42"><v>1699</v></cell><cell r="H42"><v>16990</v></cell></row><row r="42"><cell r="J42"><v>11893</v></cell><cell r="K42"><v>3398</v></cell><cell r="L42"><v>1699</v></cell><cell r="M42"><v>16990</v></cell></row><row r="43"><cell r="B43"><v>3688</v></cell><cell r="C43" t="str"><v>AMAL.P.B .</v></cell><cell r="D43" t="str"><v>ASSISTANT STORES</v></cell><cell r="E43"><v>8673</v></cell><cell r="F43"><v>2478</v></cell><cell r="G43"><v>1239</v></cell><cell r="H43"><v>12390</v></cell></row><row r="43"><cell r="J43"><v>8673</v></cell><cell r="K43"><v>2478</v></cell><cell r="L43"><v>1239</v></cell><cell r="M43"><v>12390</v></cell></row><row r="44"><cell r="B44"><v>3696</v></cell><cell r="C44" t="str"><v>Sundaresan.R .</v></cell><cell r="D44" t="str"><v>Asst.Maintenance</v></cell><cell r="E44"><v>8848</v></cell><cell r="F44"><v>2528</v></cell><cell r="G44"><v>1264</v></cell><cell r="H44"><v>12640</v></cell></row><row r="44"><cell r="J44"><v>8848</v></cell><cell r="K44"><v>2528</v></cell><cell r="L44"><v>1264</v></cell><cell r="M44"><v>12640</v></cell></row><row r="45"><cell r="B45"><v>3697</v></cell><cell r="C45" t="str"><v>Senthil Kumar.S .</v></cell><cell r="D45" t="str"><v>ASSISTANT STORES</v></cell><cell r="E45"><v>11767</v></cell><cell r="F45"><v>3362</v></cell><cell r="G45"><v>1681</v></cell><cell r="H45"><v>16810</v></cell></row><row r="45"><cell r="J45"><v>11767</v></cell><cell r="K45"><v>3362</v></cell><cell r="L45"><v>1681</v></cell><cell r="M45"><v>16810</v></cell></row><row r="46"><cell r="B46"><v>3698</v></cell><cell r="C46" t="str"><v>MOHD JAHANGIR ALI .</v></cell><cell r="D46" t="str"><v>Territory Sales Executive</v></cell><cell r="E46"><v>11459</v></cell><cell r="F46"><v>3274</v></cell><cell r="G46"><v>1637</v></cell><cell r="H46"><v>16370</v></cell></row><row r="46"><cell r="J46"><v>11459</v></cell><cell r="K46"><v>3274</v></cell><cell r="L46"><v>1637</v></cell><cell r="M46"><v>16370</v></cell></row><row r="47"><cell r="B47"><v>3711</v></cell><cell r="C47" t="str"><v>Mahesha.M.D .</v></cell><cell r="D47" t="str"><v>Executive- Sales</v></cell><cell r="E47"><v>15743</v></cell><cell r="F47"><v>4498</v></cell><cell r="G47"><v>2249</v></cell><cell r="H47"><v>22490</v></cell></row><row r="47"><cell r="J47"><v>15743</v></cell><cell r="K47"><v>4498</v></cell><cell r="L47"><v>2249</v></cell><cell r="M47"><v>22490</v></cell></row><row r="48"><cell r="B48"><v>3714</v></cell><cell r="C48" t="str"><v>Rama Moorthy.C .</v></cell><cell r="D48" t="str"><v>Supervisor-Production</v></cell><cell r="E48"><v>8484</v></cell><cell r="F48"><v>2424</v></cell><cell r="G48"><v>1212</v></cell><cell r="H48"><v>12120</v></cell></row><row r="48"><cell r="J48"><v>8484</v></cell><cell r="K48"><v>2424</v></cell><cell r="L48"><v>1212</v></cell><cell r="M48"><v>12120</v></cell></row><row r="49"><cell r="B49"><v>3715</v></cell><cell r="C49" t="str"><v>Manesh.U.P .</v></cell><cell r="D49" t="str"><v>Sr.Executive -Purchase</v></cell><cell r="E49"><v>21287</v></cell><cell r="F49"><v>6082</v></cell><cell r="G49"><v>3041</v></cell><cell r="H49"><v>30410</v></cell></row><row r="49"><cell r="J49"><v>21287</v></cell><cell r="K49"><v>6082</v></cell><cell r="L49"><v>3041</v></cell><cell r="M49"><v>30410</v></cell></row><row r="50"><cell r="B50"><v>3716</v></cell><cell r="C50" t="str"><v>Dhinesh.S .</v></cell><cell r="D50" t="str"><v>Technician</v></cell><cell r="E50"><v>7770</v></cell><cell r="F50"><v>2220</v></cell><cell r="G50"><v>1110</v></cell><cell r="H50"><v>11100</v></cell></row><row r="50"><cell r="J50"><v>7770</v></cell><cell r="K50"><v>2220</v></cell><cell r="L50"><v>1110</v></cell><cell r="M50"><v>11100</v></cell></row><row r="51"><cell r="B51"><v>3718</v></cell><cell r="C51" t="str"><v>Francis Xavier.N .</v></cell><cell r="D51" t="str"><v>Territory Sales Executive</v></cell><cell r="E51"><v>11123</v></cell><cell r="F51"><v>3178</v></cell><cell r="G51"><v>1589</v></cell><cell r="H51"><v>15890</v></cell></row><row r="51"><cell r="J51"><v>11123</v></cell><cell r="K51"><v>3178</v></cell><cell r="L51"><v>1589</v></cell><cell r="M51"><v>15890</v></cell></row><row r="52"><cell r="B52"><v>3722</v></cell><cell r="C52" t="str"><v>JAYAPRABHU KUMAR.B .</v></cell><cell r="D52" t="str"><v>Dy.Manager-Production</v></cell><cell r="E52"><v>35140</v></cell><cell r="F52"><v>10040</v></cell><cell r="G52"><v>5020</v></cell><cell r="H52"><v>50200</v></cell></row><row r="52"><cell r="J52"><v>35140</v></cell><cell r="K52"><v>10040</v></cell><cell r="L52"><v>5020</v></cell><cell r="M52"><v>50200</v></cell></row><row r="53"><cell r="B53"><v>3729</v></cell><cell r="C53" t="str"><v>VINSON.C.V .</v></cell><cell r="D53" t="str"><v>Asst.Manager-Engg.Purchas</v></cell><cell r="E53"><v>27104</v></cell><cell r="F53"><v>7744</v></cell><cell r="G53"><v>3872</v></cell><cell r="H53"><v>38720</v></cell></row><row r="53"><cell r="J53"><v>27104</v></cell><cell r="K53"><v>7744</v></cell><cell r="L53"><v>3872</v></cell><cell r="M53"><v>38720</v></cell></row><row r="54"><cell r="B54"><v>3731</v></cell><cell r="C54" t="str"><v>KASINATH.G .</v></cell><cell r="D54" t="str"><v>Sr.Territory Sales Execut</v></cell><cell r="E54"><v>19740</v></cell><cell r="F54"><v>5640</v></cell><cell r="G54"><v>2820</v></cell><cell r="H54"><v>28200</v></cell></row><row r="54"><cell r="J54"><v>19740</v></cell><cell r="K54"><v>5640</v></cell><cell r="L54"><v>2820</v></cell><cell r="M54"><v>28200</v></cell></row><row r="55"><cell r="B55"><v>3732</v></cell><cell r="C55" t="str"><v>RAKESH KUMAR.R .</v></cell><cell r="D55" t="str"><v>Sr.Executive-QA</v></cell><cell r="E55"><v>21924</v></cell><cell r="F55"><v>6264</v></cell><cell r="G55"><v>3132</v></cell><cell r="H55"><v>31320</v></cell></row><row r="55"><cell r="J55"><v>21924</v></cell><cell r="K55"><v>6264</v></cell><cell r="L55"><v>3132</v></cell><cell r="M55"><v>31320</v></cell></row><row r="56"><cell r="B56"><v>3733</v></cell><cell r="C56" t="str"><v>RAMESH.N .</v></cell><cell r="D56" t="str"><v>Territory Sales Executive</v></cell><cell r="E56"><v>18018</v></cell><cell r="F56"><v>5148</v></cell><cell r="G56"><v>2574</v></cell><cell r="H56"><v>25740</v></cell></row><row r="56"><cell r="J56"><v>18018</v></cell><cell r="K56"><v>5148</v></cell><cell r="L56"><v>2574</v></cell><cell r="M56"><v>25740</v></cell></row><row r="57"><cell r="B57"><v>3745</v></cell><cell r="C57" t="str"><v>Prasanth Kumar K .</v></cell><cell r="D57" t="str"><v>Integration: default posi</v></cell><cell r="E57"><v>9100</v></cell><cell r="F57"><v>2600</v></cell><cell r="G57"><v>1300</v></cell><cell r="H57"><v>13000</v></cell></row><row r="57"><cell r="J57"><v>7280</v></cell><cell r="K57"><v>2080</v></cell><cell r="L57"><v>1040</v></cell><cell r="M57"><v>10400</v></cell></row><row r="58"><cell r="B58"><v>3747</v></cell><cell r="C58" t="str"><v>T Karthick .</v></cell><cell r="D58" t="str"><v>Assistant - Logistics</v></cell><cell r="E58"><v>8652</v></cell><cell r="F58"><v>2472</v></cell><cell r="G58"><v>1236</v></cell><cell r="H58"><v>12360</v></cell></row><row r="58"><cell r="J58"><v>8652</v></cell><cell r="K58"><v>2472</v></cell><cell r="L58"><v>1236</v></cell><cell r="M58"><v>12360</v></cell></row><row r="59"><cell r="B59"><v>3748</v></cell><cell r="C59" t="str"><v>RAJIV GANDHI.G .</v></cell><cell r="D59" t="str"><v>Sr.Supervisor-Production</v></cell><cell r="E59"><v>13531</v></cell><cell r="F59"><v>3866</v></cell><cell r="G59"><v>1933</v></cell><cell r="H59"><v>19330</v></cell></row><row r="59"><cell r="J59"><v>13531</v></cell><cell r="K59"><v>3866</v></cell><cell r="L59"><v>1933</v></cell><cell r="M59"><v>19330</v></cell></row><row r="60"><cell r="B60"><v>3765</v></cell><cell r="C60" t="str"><v>Raghu Mudalayar .</v></cell><cell r="D60" t="str"><v>Territory Sales Executive</v></cell><cell r="E60"><v>14014</v></cell><cell r="F60"><v>4004</v></cell><cell r="G60"><v>2002</v></cell><cell r="H60"><v>20020</v></cell></row><row r="60"><cell r="J60"><v>14014</v></cell><cell r="K60"><v>4004</v></cell><cell r="L60"><v>2002</v></cell><cell r="M60"><v>20020</v></cell></row><row r="61"><cell r="B61"><v>3769</v></cell><cell r="C61" t="str"><v>Akhil P Bharadhan .</v></cell><cell r="D61" t="str"><v>Sr.Assistant -Logistics</v></cell><cell r="E61"><v>9534</v></cell><cell r="F61"><v>2724</v></cell><cell r="G61"><v>1362</v></cell><cell r="H61"><v>13620</v></cell></row><row r="61"><cell r="J61"><v>9534</v></cell><cell r="K61"><v>2724</v></cell><cell r="L61"><v>1362</v></cell><cell r="M61"><v>13620</v></cell></row><row r="62"><cell r="B62"><v>3868</v></cell><cell r="C62" t="str"><v>PRABI SRINIVAS .</v></cell><cell r="D62" t="str"><v>Receptionist</v></cell><cell r="E62"><v>8400</v></cell><cell r="F62"><v>2400</v></cell><cell r="G62"><v>1200</v></cell><cell r="H62"><v>12000</v></cell></row><row r="62"><cell r="J62"><v>8400</v></cell><cell r="K62"><v>2400</v></cell><cell r="L62"><v>1200</v></cell><cell r="M62"><v>12000</v></cell></row><row r="63"><cell r="B63"><v>3873</v></cell><cell r="C63" t="str"><v>PERIYA SAMY.K .</v></cell><cell r="D63" t="str"><v>Assistant-Despatch</v></cell><cell r="E63"><v>9009</v></cell><cell r="F63"><v>2574</v></cell><cell r="G63"><v>1287</v></cell><cell r="H63"><v>12870</v></cell></row><row r="63"><cell r="J63"><v>9009</v></cell><cell r="K63"><v>2574</v></cell><cell r="L63"><v>1287</v></cell><cell r="M63"><v>12870</v></cell></row><row r="64"><cell r="B64"><v>3884</v></cell><cell r="C64" t="str"><v>SAIPRASANNA.R .</v></cell><cell r="D64" t="str"><v>Executive-Logistics</v></cell><cell r="E64"><v>13167</v></cell><cell r="F64"><v>3762</v></cell><cell r="G64"><v>1881</v></cell><cell r="H64"><v>18810</v></cell></row><row r="64"><cell r="J64"><v>13167</v></cell><cell r="K64"><v>3762</v></cell><cell r="L64"><v>1881</v></cell><cell r="M64"><v>18810</v></cell></row><row r="65"><cell r="B65"><v>3885</v></cell><cell r="C65" t="str"><v>M.B.TAMILSELVAN .</v></cell><cell r="D65" t="str"><v>Supervisor-Production</v></cell><cell r="E65"><v>7980</v></cell><cell r="F65"><v>2280</v></cell><cell r="G65"><v>1140</v></cell><cell r="H65"><v>11400</v></cell></row><row r="65"><cell r="J65"><v>7980</v></cell><cell r="K65"><v>2280</v></cell><cell r="L65"><v>1140</v></cell><cell r="M65"><v>11400</v></cell></row><row r="66"><cell r="B66"><v>3893</v></cell><cell r="C66" t="str"><v>BHAGABAN BARIK .</v></cell><cell r="D66" t="str"><v>Supervisor-Production</v></cell><cell r="E66"><v>11123</v></cell><cell r="F66"><v>3178</v></cell><cell r="G66"><v>1589</v></cell><cell r="H66"><v>15890</v></cell></row><row r="66"><cell r="J66"><v>11123</v></cell><cell r="K66"><v>3178</v></cell><cell r="L66"><v>1589</v></cell><cell r="M66"><v>15890</v></cell></row><row r="67"><cell r="B67"><v>3912</v></cell><cell r="C67" t="str"><v>SARATH.P.S .</v></cell><cell r="D67" t="str"><v>Assistant-Accounts</v></cell><cell r="E67"><v>9282</v></cell><cell r="F67"><v>2652</v></cell><cell r="G67"><v>1326</v></cell><cell r="H67"><v>13260</v></cell></row><row r="67"><cell r="J67"><v>9282</v></cell><cell r="K67"><v>2652</v></cell><cell r="L67"><v>1326</v></cell><cell r="M67"><v>13260</v></cell></row><row r="68"><cell r="B68"><v>3913</v></cell><cell r="C68" t="str"><v>HALEEM BASH.V.M .</v></cell><cell r="D68" t="str"><v>Integration: default posi</v></cell><cell r="E68"><v>7980</v></cell><cell r="F68"><v>2280</v></cell><cell r="G68"><v>1140</v></cell><cell r="H68"><v>11400</v></cell></row><row r="68"><cell r="J68"><v>5320</v></cell><cell r="K68"><v>1520</v></cell><cell r="L68"><v>775.2</v></cell><cell r="M68"><v>7615.2</v></cell></row><row r="69"><cell r="B69"><v>3914</v></cell><cell r="C69" t="str"><v>RAJASEKAR.A .</v></cell><cell r="D69" t="str"><v>Junior Executive-Food Saf</v></cell><cell r="E69"><v>8190</v></cell><cell r="F69"><v>2340</v></cell><cell r="G69"><v>1170</v></cell><cell r="H69"><v>11700</v></cell></row><row r="69"><cell r="J69"><v>8190</v></cell><cell r="K69"><v>2340</v></cell><cell r="L69"><v>1170</v></cell><cell r="M69"><v>11700</v></cell></row><row r="70"><cell r="B70"><v>3933</v></cell><cell r="C70" t="str"><v>R.ANNAMALAI .</v></cell><cell r="D70" t="str"><v>Executive-Food Safety & Q</v></cell><cell r="E70"><v>12432</v></cell><cell r="F70"><v>3552</v></cell><cell r="G70"><v>1776</v></cell><cell r="H70"><v>17760</v></cell></row><row r="70"><cell r="J70"><v>12432</v></cell><cell r="K70"><v>3552</v></cell><cell r="L70"><v>1776</v></cell><cell r="M70"><v>17760</v></cell></row><row r="71"><cell r="B71"><v>4006</v></cell><cell r="C71" t="str"><v>A.NARESH KUMAR .</v></cell><cell r="D71" t="str"><v>Asst.General Manager-Cost</v></cell><cell r="E71"><v>55692</v></cell><cell r="F71"><v>15912</v></cell><cell r="G71"><v>7956</v></cell><cell r="H71"><v>79560</v></cell></row><row r="71"><cell r="J71"><v>55692</v></cell><cell r="K71"><v>15912</v></cell><cell r="L71"><v>7956</v></cell><cell r="M71"><v>79560</v></cell></row><row r="72"><cell r="B72"><v>4022</v></cell><cell r="C72" t="str"><v>VIJAY.K .</v></cell><cell r="D72" t="str"><v>Executive - Food Safety &</v></cell><cell r="E72"><v>12600</v></cell><cell r="F72"><v>3600</v></cell><cell r="G72"><v>1800</v></cell><cell r="H72"><v>18000</v></cell></row><row r="72"><cell r="J72"><v>12600</v></cell><cell r="K72"><v>3600</v></cell><cell r="L72"><v>1800</v></cell><cell r="M72"><v>18000</v></cell></row><row r="73"><cell r="B73"><v>4032</v></cell><cell r="C73" t="str"><v>CHIRANJAYA JENA .</v></cell><cell r="D73" t="str"><v>PRODUCTION SUPERVISOR</v></cell><cell r="E73"><v>7000</v></cell><cell r="F73"><v>2000</v></cell><cell r="G73"><v>1000</v></cell><cell r="H73"><v>10000</v></cell></row><row r="73"><cell r="J73"><v>7000</v></cell><cell r="K73"><v>2000</v></cell><cell r="L73"><v>1000</v></cell><cell r="M73"><v>10000</v></cell></row><row r="74"><cell r="B74"><v>4041</v></cell><cell r="C74" t="str"><v>SEBASTIAN.P.T .</v></cell><cell r="D74" t="str"><v>Purchase Officer</v></cell><cell r="E74"><v>18200</v></cell><cell r="F74"><v>5200</v></cell><cell r="G74"><v>2600</v></cell><cell r="H74"><v>26000</v></cell></row><row r="74"><cell r="J74"><v>18200</v></cell><cell r="K74"><v>5200</v></cell><cell r="L74"><v>2600</v></cell><cell r="M74"><v>26000</v></cell></row><row r="75"><cell r="B75"><v>4050</v></cell><cell r="C75" t="str"><v>MANU THOMAS .</v></cell><cell r="D75" t="str"><v>Executive-Logistics</v></cell><cell r="E75"><v>14000</v></cell><cell r="F75"><v>4000</v></cell><cell r="G75"><v>2000</v></cell><cell r="H75"><v>20000</v></cell></row><row r="75"><cell r="J75"><v>14000</v></cell><cell r="K75"><v>4000</v></cell><cell r="L75"><v>2000</v></cell><cell r="M75"><v>20000</v></cell></row><row r="76"><cell r="B76"><v>4053</v></cell><cell r="C76" t="str"><v>CYRIL.S .</v></cell><cell r="D76" t="str"><v>Executive-Administration</v></cell><cell r="E76"><v>17500</v></cell><cell r="F76"><v>5000</v></cell><cell r="G76"><v>2500</v></cell><cell r="H76"><v>25000</v></cell></row><row r="76"><cell r="J76"><v>17500</v></cell><cell r="K76"><v>5000</v></cell><cell r="L76"><v>2500</v></cell><cell r="M76"><v>25000</v></cell></row><row r="77"><cell r="B77"><v>4054</v></cell><cell r="C77" t="str"><v>AKHIL BABY .</v></cell><cell r="D77" t="str"><v>Assistant-Accounts</v></cell><cell r="E77"><v>9800</v></cell><cell r="F77"><v>2800</v></cell><cell r="G77"><v>1400</v></cell><cell r="H77"><v>14000</v></cell></row><row r="77"><cell r="J77"><v>9800</v></cell><cell r="K77"><v>2800</v></cell><cell r="L77"><v>1400</v></cell><cell r="M77"><v>14000</v></cell></row><row r="78"><cell r="B78"><v>4055</v></cell><cell r="C78" t="str"><v>FRANCIS.P .</v></cell><cell r="D78" t="str"><v>EXECUTIVE ACCOUNTS</v></cell><cell r="E78"><v>13650</v></cell><cell r="F78"><v>3900</v></cell><cell r="G78"><v>1950</v></cell><cell r="H78"><v>19500</v></cell></row><row r="78"><cell r="J78"><v>13650</v></cell><cell r="K78"><v>3900</v></cell><cell r="L78"><v>1950</v></cell><cell r="M78"><v>19500</v></cell></row><row r="79"><cell r="B79"><v>4065</v></cell><cell r="C79" t="str"><v>RAMU.P .</v></cell><cell r="D79" t="str"><v>Territory Sales Executive</v></cell><cell r="E79"><v>10850</v></cell><cell r="F79"><v>3100</v></cell><cell r="G79"><v>1550</v></cell><cell r="H79"><v>15500</v></cell></row><row r="79"><cell r="J79"><v>10850</v></cell><cell r="K79"><v>3100</v></cell><cell r="L79"><v>1550</v></cell><cell r="M79"><v>15500</v></cell></row><row r="80"><cell r="B80"><v>4066</v></cell><cell r="C80" t="str"><v>DEEPKRAJ.P .</v></cell><cell r="D80" t="str"><v>Territory Sales Executive</v></cell><cell r="E80"><v>14350</v></cell><cell r="F80"><v>4100</v></cell><cell r="G80"><v>2050</v></cell><cell r="H80"><v>20500</v></cell></row><row r="80"><cell r="J80"><v>14350</v></cell><cell r="K80"><v>4100</v></cell><cell r="L80"><v>2050</v></cell><cell r="M80"><v>20500</v></cell></row><row r="81"><cell r="B81"><v>4074</v></cell><cell r="C81" t="str"><v>SONU KUMAR .</v></cell><cell r="D81" t="str"><v>Territory Sales Executive</v></cell><cell r="E81"><v>21000</v></cell><cell r="F81"><v>6000</v></cell><cell r="G81"><v>3000</v></cell><cell r="H81"><v>30000</v></cell></row><row r="81"><cell r="J81"><v>21000</v></cell><cell r="K81"><v>6000</v></cell><cell r="L81"><v>3000</v></cell><cell r="M81"><v>30000</v></cell></row><row r="82"><cell r="B82"><v>4088</v></cell><cell r="C82" t="str"><v>LOKESH.E .</v></cell><cell r="D82" t="str"><v>Sr.Territory Sales Execut</v></cell><cell r="E82"><v>17500</v></cell><cell r="F82"><v>5000</v></cell><cell r="G82"><v>2500</v></cell><cell r="H82"><v>25000</v></cell></row><row r="82"><cell r="J82"><v>17500</v></cell><cell r="K82"><v>5000</v></cell><cell r="L82"><v>2500</v></cell><cell r="M82"><v>25000</v></cell></row><row r="83"><cell r="B83"><v>4139</v></cell><cell r="C83" t="str"><v>G.MUTHUKUMAR .</v></cell><cell r="D83" t="str"><v>Territory Sales Executive</v></cell><cell r="E83"><v>13000</v></cell><cell r="F83"><v>3800</v></cell><cell r="G83"><v>1900</v></cell><cell r="H83"><v>18700</v></cell></row><row r="83"><cell r="J83"><v>13000</v></cell><cell r="K83"><v>3800</v></cell><cell r="L83"><v>1900</v></cell><cell r="M83"><v>18700</v></cell></row><row r="84"><cell r="B84"><v>4143</v></cell><cell r="C84" t="str"><v>K.PREMKUMAR .</v></cell><cell r="D84" t="str"><v>Territory Sales Executive</v></cell><cell r="E84"><v>15400</v></cell><cell r="F84"><v>4400</v></cell><cell r="G84"><v>2200</v></cell><cell r="H84"><v>22000</v></cell></row><row r="84"><cell r="J84"><v>15400</v></cell><cell r="K84"><v>4400</v></cell><cell r="L84"><v>2200</v></cell><cell r="M84"><v>22000</v></cell></row><row r="85"><cell r="B85"><v>4151</v></cell><cell r="C85" t="str"><v>DAVID.D .</v></cell><cell r="D85" t="str"><v>Executive-Food Safety & Q</v></cell><cell r="E85"><v>11900</v></cell><cell r="F85"><v>3400</v></cell><cell r="G85"><v>1700</v></cell><cell r="H85"><v>17000</v></cell></row><row r="85"><cell r="J85"><v>11900</v></cell><cell r="K85"><v>3400</v></cell><cell r="L85"><v>1700</v></cell><cell r="M85"><v>17000</v></cell></row><row r="86"><cell r="B86"><v>4154</v></cell><cell r="C86" t="str"><v>CHANDRA KUMAR.M .</v></cell><cell r="D86" t="str"><v>Territory Sales Executive</v></cell><cell r="E86"><v>11900</v></cell><cell r="F86"><v>3400</v></cell><cell r="G86"><v>1700</v></cell><cell r="H86"><v>17000</v></cell></row><row r="86"><cell r="J86"><v>11900</v></cell><cell r="K86"><v>3400</v></cell><cell r="L86"><v>1700</v></cell><cell r="M86"><v>17000</v></cell></row><row r="87"><cell r="B87"><v>4181</v></cell><cell r="C87" t="str"><v>K.ABDULLA SHERIFF .</v></cell><cell r="D87" t="str"><v>Sales Representative</v></cell><cell r="E87"><v>10850</v></cell><cell r="F87"><v>3100</v></cell><cell r="G87"><v>1550</v></cell><cell r="H87"><v>15500</v></cell></row><row r="87"><cell r="J87"><v>10850</v></cell><cell r="K87"><v>3100</v></cell><cell r="L87"><v>1550</v></cell><cell r="M87"><v>15500</v></cell></row><row r="88"><cell r="B88"><v>4183</v></cell><cell r="C88" t="str"><v>SHIVANAND.H.REDDY .</v></cell><cell r="D88" t="str"><v>Territory Sales Executive</v></cell><cell r="E88"><v>14770</v></cell><cell r="F88"><v>4220</v></cell><cell r="G88"><v>2110</v></cell><cell r="H88"><v>21100</v></cell></row><row r="88"><cell r="J88"><v>14770</v></cell><cell r="K88"><v>4220</v></cell><cell r="L88"><v>2110</v></cell><cell r="M88"><v>21100</v></cell></row><row r="89"><cell r="B89"><v>4187</v></cell><cell r="C89" t="str"><v>R.S.RAVIKUMAR .</v></cell><cell r="D89" t="str"><v>Jr.Executive-Logistics</v></cell><cell r="E89"><v>11200</v></cell><cell r="F89"><v>3200</v></cell><cell r="G89"><v>1600</v></cell><cell r="H89"><v>16000</v></cell></row><row r="89"><cell r="J89"><v>11200</v></cell><cell r="K89"><v>3200</v></cell><cell r="L89"><v>1600</v></cell><cell r="M89"><v>16000</v></cell></row><row r="90"><cell r="B90"><v>4193</v></cell><cell r="C90" t="str"><v>LIJU LAMBODHARAN PILLAI .</v></cell><cell r="D90" t="str"><v>Sr.Executive-H.R</v></cell><cell r="E90"><v>23100</v></cell><cell r="F90"><v>6600</v></cell><cell r="G90"><v>3300</v></cell><cell r="H90"><v>33000</v></cell></row><row r="90"><cell r="J90"><v>23100</v></cell><cell r="K90"><v>6600</v></cell><cell r="L90"><v>3300</v></cell><cell r="M90"><v>33000</v></cell></row><row r="91"><cell r="B91"><v>4219</v></cell><cell r="C91" t="str"><v>AKASH.A .</v></cell><cell r="D91" t="str"><v>Trainee-Logistics</v></cell><cell r="E91"><v>9800</v></cell><cell r="F91"><v>2800</v></cell><cell r="G91"><v>1400</v></cell><cell r="H91"><v>14000</v></cell></row><row r="91"><cell r="J91"><v>9800</v></cell><cell r="K91"><v>2800</v></cell><cell r="L91"><v>1400</v></cell><cell r="M91"><v>14000</v></cell></row><row r="92"><cell r="B92"><v>4223</v></cell><cell r="C92" t="str"><v>V.NANCHARAIAH .</v></cell><cell r="D92" t="str"><v>Territory Sales Executive</v></cell><cell r="E92"><v>14000</v></cell><cell r="F92"><v>4000</v></cell><cell r="G92"><v>2000</v></cell><cell r="H92"><v>20000</v></cell></row><row r="92"><cell r="J92"><v>14000</v></cell><cell r="K92"><v>4000</v></cell><cell r="L92"><v>2000</v></cell><cell r="M92"><v>20000</v></cell></row><row r="93"><cell r="B93"><v>4363</v></cell><cell r="C93" t="str"><v>MANIKANDAN.V .</v></cell><cell r="D93" t="str"><v>Supervisor-Production</v></cell><cell r="E93"><v>9100</v></cell><cell r="F93"><v>2600</v></cell><cell r="G93"><v>1300</v></cell><cell r="H93"><v>13000</v></cell></row><row r="93"><cell r="J93"><v>9100</v></cell><cell r="K93"><v>2600</v></cell><cell r="L93"><v>1300</v></cell><cell r="M93"><v>13000</v></cell></row><row r="94"><cell r="B94"><v>4370</v></cell><cell r="C94" t="str"><v>MANORANJAN LENKA .</v></cell><cell r="D94" t="str"><v>Supervisor-Production</v></cell><cell r="E94"><v>15120</v></cell><cell r="F94"><v>4320</v></cell><cell r="G94"><v>2160</v></cell><cell r="H94"><v>21600</v></cell></row><row r="94"><cell r="J94"><v>15120</v></cell><cell r="K94"><v>4320</v></cell><cell r="L94"><v>2160</v></cell><cell r="M94"><v>21600</v></cell></row><row r="95"><cell r="B95"><v>4376</v></cell><cell r="C95" t="str"><v>ASHOK KUMAR.H .</v></cell><cell r="D95" t="str"><v>Supervisor-Production</v></cell><cell r="E95"><v>7700</v></cell><cell r="F95"><v>2200</v></cell><cell r="G95"><v>1100</v></cell><cell r="H95"><v>11000</v></cell></row><row r="95"><cell r="J95"><v>7700</v></cell><cell r="K95"><v>2200</v></cell><cell r="L95"><v>1100</v></cell><cell r="M95"><v>11000</v></cell></row><row r="96"><cell r="B96"><v>4434</v></cell><cell r="C96" t="str"><v>KIRAN SAVANTH.S .</v></cell><cell r="D96" t="str"><v>Territory Sales Executive</v></cell><cell r="E96"><v>15050</v></cell><cell r="F96"><v>4300</v></cell><cell r="G96"><v>2150</v></cell><cell r="H96"><v>21500</v></cell></row><row r="96"><cell r="J96"><v>15050</v></cell><cell r="K96"><v>4300</v></cell><cell r="L96"><v>2150</v></cell><cell r="M96"><v>21500</v></cell></row><row r="97"><cell r="B97"><v>4442</v></cell><cell r="C97" t="str"><v>V.DASHARATH .</v></cell><cell r="D97" t="str"><v>Merchandiser</v></cell><cell r="E97"><v>6300</v></cell><cell r="F97"><v>1800</v></cell><cell r="G97"><v>900</v></cell><cell r="H97"><v>9000</v></cell></row><row r="97"><cell r="J97"><v>6300</v></cell><cell r="K97"><v>1800</v></cell><cell r="L97"><v>900</v></cell><cell r="M97"><v>9000</v></cell></row><row r="98"><cell r="B98"><v>4450</v></cell><cell r="C98" t="str"><v>S.MURUGESH .</v></cell><cell r="D98" t="str"><v>Supervisor - Security</v></cell><cell r="E98"><v>14000</v></cell><cell r="F98"><v>4000</v></cell><cell r="G98"><v>2000</v></cell><cell r="H98"><v>20000</v></cell></row><row r="98"><cell r="J98"><v>14000</v></cell><cell r="K98"><v>4000</v></cell><cell r="L98"><v>2000</v></cell><cell r="M98"><v>20000</v></cell></row><row r="99"><cell r="B99"><v>4498</v></cell><cell r="C99" t="str"><v>R.RAJKUMAR .</v></cell><cell r="D99" t="str"><v>Executive-Logistics</v></cell><cell r="E99"><v>11410</v></cell><cell r="F99"><v>3260</v></cell><cell r="G99"><v>1630</v></cell><cell r="H99"><v>16300</v></cell></row><row r="99"><cell r="J99"><v>11410</v></cell><cell r="K99"><v>3260</v></cell><cell r="L99"><v>1630</v></cell><cell r="M99"><v>16300</v></cell></row><row r="100"><cell r="B100"><v>4499</v></cell><cell r="C100" t="str"><v>SRIKANTH.N .</v></cell><cell r="D100" t="str"><v>Merchandiser</v></cell><cell r="E100"><v>6300</v></cell><cell r="F100"><v>1800</v></cell><cell r="G100"><v>900</v></cell><cell r="H100"><v>9000</v></cell></row><row r="100"><cell r="J100"><v>6300</v></cell><cell r="K100"><v>1800</v></cell><cell r="L100"><v>900</v></cell><cell r="M100"><v>9000</v></cell></row><row r="101"><cell r="B101"><v>4500</v></cell><cell r="C101" t="str"><v>P.THIRUPATHI .</v></cell><cell r="D101" t="str"><v>Assistant</v></cell><cell r="E101"><v>11200</v></cell><cell r="F101"><v>3200</v></cell><cell r="G101"><v>1600</v></cell><cell r="H101"><v>16000</v></cell></row><row r="101"><cell r="J101"><v>11200</v></cell><cell r="K101"><v>3200</v></cell><cell r="L101"><v>1600</v></cell><cell r="M101"><v>16000</v></cell></row><row r="102"><cell r="B102"><v>4503</v></cell><cell r="C102" t="str"><v>BASHAYIR AHAMED.M.S .</v></cell><cell r="D102" t="str"><v>Territory Sales Executive</v></cell><cell r="E102"><v>12600</v></cell><cell r="F102"><v>3600</v></cell><cell r="G102"><v>1800</v></cell><cell r="H102"><v>18000</v></cell></row><row r="102"><cell r="J102"><v>12600</v></cell><cell r="K102"><v>3600</v></cell><cell r="L102"><v>1800</v></cell><cell r="M102"><v>18000</v></cell></row><row r="103"><cell r="B103"><v>4528</v></cell><cell r="C103" t="str"><v>P.BALAMURUGAN .</v></cell><cell r="D103" t="str"><v>Territory Sales Executive</v></cell><cell r="E103"><v>11200</v></cell><cell r="F103"><v>3200</v></cell><cell r="G103"><v>1600</v></cell><cell r="H103"><v>16000</v></cell></row><row r="103"><cell r="J103"><v>11200</v></cell><cell r="K103"><v>3200</v></cell><cell r="L103"><v>1600</v></cell><cell r="M103"><v>16000</v></cell></row><row r="104"><cell r="B104"><v>4536</v></cell><cell r="C104" t="str"><v>S.SIVASYLESH .</v></cell><cell r="D104" t="str"><v>Executive - Food Safety &</v></cell><cell r="E104"><v>15050</v></cell><cell r="F104"><v>4300</v></cell><cell r="G104"><v>2150</v></cell><cell r="H104"><v>21500</v></cell></row><row r="104"><cell r="J104"><v>15050</v></cell><cell r="K104"><v>4300</v></cell><cell r="L104"><v>2150</v></cell><cell r="M104"><v>21500</v></cell></row><row r="105"><cell r="B105"><v>4537</v></cell><cell r="C105" t="str"><v>VENKATRAJ.R .</v></cell><cell r="D105" t="str"><v>Dy.Manager-H.R & Admin</v></cell><cell r="E105"><v>36400</v></cell><cell r="F105"><v>10400</v></cell><cell r="G105"><v>5200</v></cell><cell r="H105"><v>52000</v></cell></row><row r="105"><cell r="J105"><v>36400</v></cell><cell r="K105"><v>10400</v></cell><cell r="L105"><v>5200</v></cell><cell r="M105"><v>52000</v></cell></row><row r="106"><cell r="B106"><v>4538</v></cell><cell r="C106" t="str"><v>B.SWARNA .</v></cell><cell r="D106" t="str"><v>Merchandiser</v></cell><cell r="E106"><v>6300</v></cell><cell r="F106"><v>1800</v></cell><cell r="G106"><v>900</v></cell><cell r="H106"><v>9000</v></cell></row><row r="106"><cell r="J106"><v>6300</v></cell><cell r="K106"><v>1800</v></cell><cell r="L106"><v>900</v></cell><cell r="M106"><v>9000</v></cell></row><row r="107"><cell r="B107"><v>4541</v></cell><cell r="C107" t="str"><v>D.SIVA CHANDRA PRASAD .</v></cell><cell r="D107" t="str"><v>Merchandiser</v></cell><cell r="E107"><v>6300</v></cell><cell r="F107"><v>1800</v></cell><cell r="G107"><v>900</v></cell><cell r="H107"><v>9000</v></cell></row><row r="107"><cell r="J107"><v>6300</v></cell><cell r="K107"><v>1800</v></cell><cell r="L107"><v>900</v></cell><cell r="M107"><v>9000</v></cell></row><row r="108"><cell r="B108"><v>4551</v></cell><cell r="C108" t="str"><v>M.SHANMUGAM .</v></cell><cell r="D108" t="str"><v>Technician</v></cell><cell r="E108"><v>11550</v></cell><cell r="F108"><v>3300</v></cell><cell r="G108"><v>1650</v></cell><cell r="H108"><v>16500</v></cell></row><row r="108"><cell r="J108"><v>11550</v></cell><cell r="K108"><v>3300</v></cell><cell r="L108"><v>1650</v></cell><cell r="M108"><v>16500</v></cell></row><row r="109"><cell r="B109"><v>4554</v></cell><cell r="C109" t="str"><v>R.SURIYAN .</v></cell><cell r="D109" t="str"><v>Territory Sales Executive</v></cell><cell r="E109"><v>8750</v></cell><cell r="F109"><v>2500</v></cell><cell r="G109"><v>1250</v></cell><cell r="H109"><v>12500</v></cell></row><row r="109"><cell r="J109"><v>8750</v></cell><cell r="K109"><v>2500</v></cell><cell r="L109"><v>1250</v></cell><cell r="M109"><v>12500</v></cell></row><row r="110"><cell r="B110"><v>4558</v></cell><cell r="C110" t="str"><v>K.PARAMASHIVAM .</v></cell><cell r="D110" t="str"><v>Territory Sales Executive</v></cell><cell r="E110"><v>12250</v></cell><cell r="F110"><v>3500</v></cell><cell r="G110"><v>1750</v></cell><cell r="H110"><v>17500</v></cell></row><row r="110"><cell r="J110"><v>12250</v></cell><cell r="K110"><v>3500</v></cell><cell r="L110"><v>1750</v></cell><cell r="M110"><v>17500</v></cell></row><row r="111"><cell r="B111"><v>4562</v></cell><cell r="C111" t="str"><v>RENJITH.P.V .</v></cell><cell r="D111" t="str"><v>EXECUTIVE ACCOUNTS</v></cell><cell r="E111"><v>13300</v></cell><cell r="F111"><v>3800</v></cell><cell r="G111"><v>1900</v></cell><cell r="H111"><v>19000</v></cell></row><row r="111"><cell r="J111"><v>13300</v></cell><cell r="K111"><v>3800</v></cell><cell r="L111"><v>1900</v></cell><cell r="M111"><v>19000</v></cell></row><row r="112"><cell r="B112"><v>4575</v></cell><cell r="C112" t="str"><v>P.NARESH .</v></cell><cell r="D112" t="str"><v>Sr.Territory Sales Execut</v></cell><cell r="E112"><v>21000</v></cell><cell r="F112"><v>6000</v></cell><cell r="G112"><v>3000</v></cell><cell r="H112"><v>30000</v></cell></row><row r="112"><cell r="J112"><v>21000</v></cell><cell r="K112"><v>6000</v></cell><cell r="L112"><v>3000</v></cell><cell r="M112"><v>30000</v></cell></row><row r="113"><cell r="B113"><v>4576</v></cell><cell r="C113" t="str"><v>AMIT SINGH .</v></cell><cell r="D113" t="str"><v>Territory Sales Executive</v></cell><cell r="E113"><v>14700</v></cell><cell r="F113"><v>4200</v></cell><cell r="G113"><v>2101</v></cell><cell r="H113"><v>21001</v></cell></row><row r="113"><cell r="J113"><v>14700</v></cell><cell r="K113"><v>4200</v></cell><cell r="L113"><v>2101</v></cell><cell r="M113"><v>21001</v></cell></row><row r="114"><cell r="B114"><v>4580</v></cell><cell r="C114" t="str"><v>KARTHIKEYAN.M .</v></cell><cell r="D114" t="str"><v>Territory Sales Executive</v></cell><cell r="E114"><v>14770</v></cell><cell r="F114"><v>4220</v></cell><cell r="G114"><v>2110</v></cell><cell r="H114"><v>21100</v></cell></row><row r="114"><cell r="J114"><v>14770</v></cell><cell r="K114"><v>4220</v></cell><cell r="L114"><v>2110</v></cell><cell r="M114"><v>21100</v></cell></row><row r="115"><cell r="B115"><v>4881</v></cell><cell r="C115" t="str"><v>HARISH MIRAJKAR .</v></cell><cell r="D115" t="str"><v>Sr.Territory Sales Execut</v></cell><cell r="E115"><v>26250</v></cell><cell r="F115"><v>7500</v></cell><cell r="G115"><v>3750</v></cell><cell r="H115"><v>37500</v></cell></row><row r="115"><cell r="J115"><v>26250</v></cell><cell r="K115"><v>7500</v></cell><cell r="L115"><v>3750</v></cell><cell r="M115"><v>37500</v></cell></row><row r="116"><cell r="B116"><v>4882</v></cell><cell r="C116" t="str"><v>MOHANRAJ.G .</v></cell><cell r="D116" t="str"><v>Territory Sales Executive</v></cell><cell r="E116"><v>17500</v></cell><cell r="F116"><v>5000</v></cell><cell r="G116"><v>2500</v></cell><cell r="H116"><v>25000</v></cell></row><row r="116"><cell r="J116"><v>17500</v></cell><cell r="K116"><v>5000</v></cell><cell r="L116"><v>2500</v></cell><cell r="M116"><v>25000</v></cell></row><row r="117"><cell r="B117"><v>4883</v></cell><cell r="C117" t="str"><v>M.PRASANNA KUMAR .</v></cell><cell r="D117" t="str"><v>Territory Sales Executive</v></cell><cell r="E117"><v>18550</v></cell><cell r="F117"><v>5300</v></cell><cell r="G117"><v>2650</v></cell><cell r="H117"><v>26500</v></cell></row><row r="117"><cell r="J117"><v>18550</v></cell><cell r="K117"><v>5300</v></cell><cell r="L117"><v>2650</v></cell><cell r="M117"><v>26500</v></cell></row><row r="118"><cell r="B118"><v>4918</v></cell><cell r="C118" t="str"><v>KARTHIK RAO .</v></cell><cell r="D118" t="str"><v>Sr.Executive-H.R</v></cell><cell r="E118"><v>17500</v></cell><cell r="F118"><v>5000</v></cell><cell r="G118"><v>2500</v></cell><cell r="H118"><v>25000</v></cell></row><row r="118"><cell r="J118"><v>17500</v></cell><cell r="K118"><v>5000</v></cell><cell r="L118"><v>2500</v></cell><cell r="M118"><v>25000</v></cell></row><row r="119"><cell r="B119"><v>4935</v></cell><cell r="C119" t="str"><v>M.KISHORE .</v></cell><cell r="D119" t="str"><v>Territory Sales Executive</v></cell><cell r="E119"><v>11900</v></cell><cell r="F119"><v>3400</v></cell><cell r="G119"><v>1700</v></cell><cell r="H119"><v>17000</v></cell></row><row r="119"><cell r="J119"><v>11900</v></cell><cell r="K119"><v>3400</v></cell><cell r="L119"><v>1700</v></cell><cell r="M119"><v>17000</v></cell></row><row r="120"><cell r="B120"><v>4936</v></cell><cell r="C120" t="str"><v>KANNADASAN.A .</v></cell><cell r="D120" t="str"><v>Territory Sales Executive</v></cell><cell r="E120"><v>15750</v></cell><cell r="F120"><v>4500</v></cell><cell r="G120"><v>2250</v></cell><cell r="H120"><v>22500</v></cell></row><row r="120"><cell r="J120"><v>15750</v></cell><cell r="K120"><v>4500</v></cell><cell r="L120"><v>2250</v></cell><cell r="M120"><v>22500</v></cell></row><row r="121"><cell r="B121"><v>4942</v></cell><cell r="C121" t="str"><v>ANSHUMAN SINGH .</v></cell><cell r="D121" t="str"><v>Territory Sales Executive</v></cell><cell r="E121"><v>19600</v></cell><cell r="F121"><v>5600</v></cell><cell r="G121"><v>2800</v></cell><cell r="H121"><v>28000</v></cell></row><row r="121"><cell r="J121"><v>19600</v></cell><cell r="K121"><v>5600</v></cell><cell r="L121"><v>2800</v></cell><cell r="M121"><v>28000</v></cell></row><row r="122"><cell r="B122"><v>4948</v></cell><cell r="C122" t="str"><v>SIRAJUDDIN PATEL .</v></cell><cell r="D122" t="str"><v>Sr.Territory Sales Execut</v></cell><cell r="E122"><v>24500</v></cell><cell r="F122"><v>7000</v></cell><cell r="G122"><v>3500</v></cell><cell r="H122"><v>35000</v></cell></row><row r="122"><cell r="J122"><v>24500</v></cell><cell r="K122"><v>7000</v></cell><cell r="L122"><v>3500</v></cell><cell r="M122"><v>35000</v></cell></row><row r="123"><cell r="B123"><v>4958</v></cell><cell r="C123" t="str"><v>J.MITHUN .</v></cell><cell r="D123" t="str"><v>Area Sales Manager- Hyder</v></cell><cell r="E123"><v>43750</v></cell><cell r="F123"><v>12500</v></cell><cell r="G123"><v>6250</v></cell><cell r="H123"><v>62500</v></cell></row><row r="123"><cell r="J123"><v>37916.67</v></cell><cell r="K123"><v>10833.33</v></cell><cell r="L123"><v>5500</v></cell><cell r="M123"><v>54250</v></cell></row><row r="124"><cell r="B124"><v>4962</v></cell><cell r="C124" t="str"><v>HARIHARAN.R .</v></cell><cell r="D124" t="str"><v>Trainee-Logistics</v></cell><cell r="E124"><v>7000</v></cell><cell r="F124"><v>2000</v></cell><cell r="G124"><v>1000</v></cell><cell r="H124"><v>10000</v></cell></row><row r="124"><cell r="J124"><v>4433.33</v></cell><cell r="K124"><v>1266.67</v></cell><cell r="L124"><v>640</v></cell><cell r="M124"><v>6340</v></cell></row><row r="125"><cell r="B125"><v>5008</v></cell><cell r="C125" t="str"><v>T.MAVENDHAN .</v></cell><cell r="D125" t="str"><v>Trainee</v></cell><cell r="E125"><v>11550</v></cell><cell r="F125"><v>3300</v></cell><cell r="G125"><v>1650</v></cell><cell r="H125"><v>16500</v></cell></row><row r="125"><cell r="J125"><v>3850</v></cell><cell r="K125"><v>1100</v></cell><cell r="L125"><v>528</v></cell><cell r="M125"><v>5478</v></cell></row><row r="126"><cell r="B126"><v>5009</v></cell><cell r="C126" t="str"><v>BALU.G .</v></cell><cell r="D126" t="str"><v>Territory Sales Executive</v></cell><cell r="E126"><v>13300</v></cell><cell r="F126"><v>3800</v></cell><cell r="G126"><v>1900</v></cell><cell r="H126"><v>19000</v></cell></row><row r="126"><cell r="J126"><v>3103.33</v></cell><cell r="K126"><v>886.67</v></cell><cell r="L126"><v>456</v></cell><cell r="M126"><v>4446</v></cell></row><row r="127"><cell r="B127"><v>5010</v></cell><cell r="C127" t="str"><v>V.BALAJI .</v></cell><cell r="D127" t="str"><v>Territory Sales Manager</v></cell><cell r="E127"><v>24150</v></cell><cell r="F127"><v>6900</v></cell><cell r="G127"><v>3450</v></cell><cell r="H127"><v>34500</v></cell></row><row r="127"><cell r="J127"><v>6440</v></cell><cell r="K127"><v>1840</v></cell><cell r="L127"><v>966</v></cell><cell r="M127"><v>9246</v></cell></row></sheetData></sheetDataSet></externalBook></externalLink>
</file>

<file path=xl/externalLinks/externalLink6.xml><?xml version="1.0" encoding="UTF-8" standalone="yes"?>
<externalLink xmlns="http://schemas.openxmlformats.org/spreadsheetml/2006/main"><externalBook xmlns:r="http://schemas.openxmlformats.org/officeDocument/2006/relationships" r:id="rId1"><sheetNames><sheetName val="top mgmnt"/><sheetName val="staff klmsy (2)"/><sheetName val="staff klmsy"/></sheetNames><sheetDataSet><sheetData sheetId="0"></sheetData><sheetData sheetId="1"><row r="7"><cell r="B7"><v>375</v></cell><cell r="C7" t="str"><v>Sajeev M S .</v></cell><cell r="D7" t="str"><v>DY MANAGER production</v></cell><cell r="E7"><v>30840</v></cell><cell r="F7"><v>15420</v></cell><cell r="G7"><v>5140</v></cell></row><row r="7"><cell r="I7"><v>51400</v></cell><cell r="J7"><v>30840</v></cell><cell r="K7"><v>15420</v></cell><cell r="L7"><v>5140</v></cell></row><row r="7"><cell r="N7"><v>28</v></cell></row><row r="7"><cell r="P7"><v>2</v></cell></row><row r="7"><cell r="R7"><v>51400</v></cell></row><row r="8"><cell r="B8"><v>376</v></cell><cell r="C8" t="str"><v>Joji Joseph K .</v></cell><cell r="D8" t="str"><v>Asst.Manager -Production</v></cell><cell r="E8"><v>29352</v></cell><cell r="F8"><v>14676</v></cell><cell r="G8"><v>4892</v></cell></row><row r="8"><cell r="I8"><v>48920</v></cell><cell r="J8"><v>29352</v></cell><cell r="K8"><v>14676</v></cell><cell r="L8"><v>4892</v></cell></row><row r="8"><cell r="N8"><v>27</v></cell></row><row r="8"><cell r="R8"><v>48920</v></cell></row><row r="9"><cell r="B9"><v>377</v></cell><cell r="C9" t="str"><v>Selvaraj V G .</v></cell><cell r="D9" t="str"><v>Dy  Mgr- Production & NPD</v></cell><cell r="E9"><v>31494</v></cell><cell r="F9"><v>15747</v></cell><cell r="G9"><v>5249</v></cell></row><row r="9"><cell r="I9"><v>52490</v></cell><cell r="J9"><v>31494</v></cell><cell r="K9"><v>15747</v></cell><cell r="L9"><v>5249</v></cell></row><row r="9"><cell r="N9"><v>25</v></cell></row><row r="9"><cell r="P9"><v>5</v></cell></row><row r="9"><cell r="R9"><v>52490</v></cell></row><row r="10"><cell r="B10"><v>379</v></cell><cell r="C10" t="str"><v>Shiny Jiji .</v></cell><cell r="D10" t="str"><v>Vertical Head Baking</v></cell><cell r="E10"><v>62640</v></cell><cell r="F10"><v>31320</v></cell><cell r="G10"><v>10440</v></cell></row><row r="10"><cell r="I10"><v>104400</v></cell><cell r="J10"><v>62640</v></cell><cell r="K10"><v>31320</v></cell><cell r="L10"><v>10440</v></cell></row><row r="10"><cell r="N10"><v>29.5</v></cell></row><row r="10"><cell r="P10"><v>0.5</v></cell></row><row r="10"><cell r="R10"><v>104400</v></cell></row><row r="11"><cell r="B11"><v>383</v></cell><cell r="C11" t="str"><v>Manojkumar I S .</v></cell><cell r="D11" t="str"><v>Senior Executive Accounts</v></cell><cell r="E11"><v>15798</v></cell><cell r="F11"><v>7899</v></cell><cell r="G11"><v>2633</v></cell></row><row r="11"><cell r="I11"><v>26330</v></cell><cell r="J11"><v>15798</v></cell><cell r="K11"><v>7899</v></cell><cell r="L11"><v>2633</v></cell></row><row r="11"><cell r="N11"><v>29.5</v></cell></row><row r="11"><cell r="P11"><v>0.5</v></cell></row><row r="11"><cell r="R11"><v>26330</v></cell></row><row r="12"><cell r="B12"><v>385</v></cell><cell r="C12" t="str"><v>Viswambaran .</v></cell><cell r="D12" t="str"><v>Sr.Supervisor-Production</v></cell><cell r="E12"><v>14328</v></cell><cell r="F12"><v>7164</v></cell><cell r="G12"><v>2388</v></cell></row><row r="12"><cell r="I12"><v>23880</v></cell><cell r="J12"><v>14328</v></cell><cell r="K12"><v>7164</v></cell><cell r="L12"><v>2388</v></cell></row><row r="12"><cell r="N12"><v>27</v></cell></row><row r="12"><cell r="R12"><v>23880</v></cell></row><row r="13"><cell r="B13"><v>386</v></cell><cell r="C13" t="str"><v>Martin K V .</v></cell><cell r="D13" t="str"><v>Supervisor - Production</v></cell><cell r="E13"><v>14772</v></cell><cell r="F13"><v>7386</v></cell><cell r="G13"><v>2462</v></cell></row><row r="13"><cell r="I13"><v>24620</v></cell><cell r="J13"><v>14772</v></cell><cell r="K13"><v>7386</v></cell><cell r="L13"><v>2462</v></cell></row><row r="13"><cell r="N13"><v>28</v></cell></row><row r="13"><cell r="R13"><v>24620</v></cell></row><row r="14"><cell r="B14"><v>389</v></cell><cell r="C14" t="str"><v>Manoj P K .</v></cell><cell r="D14" t="str"><v>Asst Manager -Logistics</v></cell><cell r="E14"><v>22650</v></cell><cell r="F14"><v>11325</v></cell><cell r="G14"><v>3775</v></cell><cell r="H14"><v>2500</v></cell><cell r="I14"><v>40250</v></cell><cell r="J14"><v>22650</v></cell><cell r="K14"><v>11325</v></cell><cell r="L14"><v>3775</v></cell><cell r="M14"><v>2500</v></cell><cell r="N14"><v>26</v></cell></row><row r="14"><cell r="R14"><v>40250</v></cell></row><row r="15"><cell r="B15"><v>402</v></cell><cell r="C15" t="str"><v>Sobha V .</v></cell><cell r="D15" t="str"><v>Sr. Executive - IT</v></cell><cell r="E15"><v>19140</v></cell><cell r="F15"><v>9570</v></cell><cell r="G15"><v>3190</v></cell></row><row r="15"><cell r="I15"><v>31900</v></cell><cell r="J15"><v>19140</v></cell><cell r="K15"><v>9570</v></cell><cell r="L15"><v>3190</v></cell></row><row r="15"><cell r="N15"><v>27</v></cell></row><row r="15"><cell r="P15"><v>3</v></cell></row><row r="15"><cell r="R15"><v>31900</v></cell></row><row r="16"><cell r="B16"><v>403</v></cell><cell r="C16" t="str"><v>Manoj S .</v></cell><cell r="D16" t="str"><v>Assistant Manager-Mainten</v></cell><cell r="E16"><v>25704</v></cell><cell r="F16"><v>12852</v></cell><cell r="G16"><v>4284</v></cell></row><row r="16"><cell r="I16"><v>42840</v></cell><cell r="J16"><v>25704</v></cell><cell r="K16"><v>12852</v></cell><cell r="L16"><v>4284</v></cell></row><row r="16"><cell r="N16"><v>24</v></cell></row><row r="16"><cell r="R16"><v>42840</v></cell></row><row r="17"><cell r="B17"><v>404</v></cell><cell r="C17" t="str"><v>Suresh T G .</v></cell><cell r="D17" t="str"><v>Asst.Manager Purchase</v></cell><cell r="E17"><v>23832</v></cell><cell r="F17"><v>11916</v></cell><cell r="G17"><v>3972</v></cell></row><row r="17"><cell r="I17"><v>39720</v></cell><cell r="J17"><v>23832</v></cell><cell r="K17"><v>11916</v></cell><cell r="L17"><v>3972</v></cell></row><row r="17"><cell r="N17"><v>28</v></cell></row><row r="17"><cell r="R17"><v>39720</v></cell></row><row r="18"><cell r="B18"><v>1199</v></cell><cell r="C18" t="str"><v>Jose Fabin Gomes .</v></cell><cell r="D18" t="str"><v>ASST MANAGER Quality</v></cell><cell r="E18"><v>18732</v></cell><cell r="F18"><v>9366</v></cell><cell r="G18"><v>3122</v></cell></row><row r="18"><cell r="I18"><v>31220</v></cell><cell r="J18"><v>18732</v></cell><cell r="K18"><v>9366</v></cell><cell r="L18"><v>3122</v></cell></row><row r="18"><cell r="N18"><v>30</v></cell></row><row r="18"><cell r="R18"><v>31220</v></cell></row><row r="19"><cell r="B19"><v>1210</v></cell><cell r="C19" t="str"><v>Govind.S Menon</v></cell><cell r="D19" t="str"><v>Sales Co-ordinator</v></cell><cell r="E19"><v>22512</v></cell><cell r="F19"><v>11256</v></cell><cell r="G19"><v>3752</v></cell><cell r="H19"><v>600</v></cell><cell r="I19"><v>38120</v></cell><cell r="J19"><v>22512</v></cell><cell r="K19"><v>11256</v></cell><cell r="L19"><v>3752</v></cell><cell r="M19"><v>600</v></cell><cell r="N19"><v>27</v></cell></row><row r="19"><cell r="P19"><v>3</v></cell></row><row r="19"><cell r="R19"><v>38120</v></cell></row><row r="20"><cell r="B20"><v>1211</v></cell><cell r="C20" t="str"><v>Bindu Anilkumar</v></cell><cell r="D20" t="str"><v>Sr.Executive-Materials</v></cell><cell r="E20"><v>15372</v></cell><cell r="F20"><v>7686</v></cell><cell r="G20"><v>2562</v></cell></row><row r="20"><cell r="I20"><v>25620</v></cell><cell r="J20"><v>15372</v></cell><cell r="K20"><v>7686</v></cell><cell r="L20"><v>2562</v></cell></row><row r="20"><cell r="N20"><v>29.5</v></cell></row><row r="20"><cell r="R20"><v>25620</v></cell></row><row r="21"><cell r="B21"><v>1213</v></cell><cell r="C21" t="str"><v>Rajeesh P</v></cell><cell r="D21" t="str"><v>Territory Sales Executive</v></cell><cell r="E21"><v>10470</v></cell><cell r="F21"><v>5235</v></cell><cell r="G21"><v>1745</v></cell></row><row r="21"><cell r="I21"><v>17450</v></cell><cell r="J21"><v>10470</v></cell><cell r="K21"><v>5235</v></cell><cell r="L21"><v>1745</v></cell></row><row r="21"><cell r="N21"><v>27</v></cell></row><row r="21"><cell r="P21"><v>3</v></cell></row><row r="21"><cell r="R21"><v>17450</v></cell></row><row r="22"><cell r="B22"><v>1221</v></cell><cell r="C22" t="str"><v>Abbas B</v></cell><cell r="D22" t="str"><v>Territory Sales Executive</v></cell><cell r="E22"><v>15018</v></cell><cell r="F22"><v>7509</v></cell><cell r="G22"><v>2503</v></cell></row><row r="22"><cell r="I22"><v>25030</v></cell><cell r="J22"><v>15018</v></cell><cell r="K22"><v>7509</v></cell><cell r="L22"><v>2503</v></cell></row><row r="22"><cell r="N22"><v>30</v></cell></row><row r="22"><cell r="R22"><v>25030</v></cell></row><row r="23"><cell r="B23"><v>1423</v></cell><cell r="C23" t="str"><v>Kalesh Kumar</v></cell><cell r="D23" t="str"><v>Territory Sales Executive</v></cell><cell r="E23"><v>12714</v></cell><cell r="F23"><v>6357</v></cell><cell r="G23"><v>2119</v></cell></row><row r="23"><cell r="I23"><v>21190</v></cell><cell r="J23"><v>5933.2</v></cell><cell r="K23"><v>2966.6</v></cell><cell r="L23"><v>988.87</v></cell></row><row r="23"><cell r="N23"><v>14</v></cell><cell r="O23"><v>16</v></cell></row><row r="23"><cell r="R23"><v>9888.67</v></cell></row><row r="24"><cell r="B24"><v>1424</v></cell><cell r="C24" t="str"><v>Smija .</v></cell><cell r="D24" t="str"><v>Executive - Accounts</v></cell><cell r="E24"><v>12012</v></cell><cell r="F24"><v>6006</v></cell><cell r="G24"><v>2002</v></cell></row><row r="24"><cell r="I24"><v>20020</v></cell><cell r="J24"><v>12012</v></cell><cell r="K24"><v>6006</v></cell><cell r="L24"><v>2002</v></cell></row><row r="24"><cell r="N24"><v>28.5</v></cell></row><row r="24"><cell r="P24"><v>1.5</v></cell></row><row r="24"><cell r="R24"><v>20020</v></cell></row><row r="25"><cell r="B25"><v>1671</v></cell><cell r="C25" t="str"><v>Radhakrishnan K S</v></cell><cell r="D25" t="str"><v>Sr Executive -Security</v></cell><cell r="E25"><v>17574</v></cell><cell r="F25"><v>8787</v></cell><cell r="G25"><v>2929</v></cell></row><row r="25"><cell r="I25"><v>29290</v></cell><cell r="J25"><v>17574</v></cell><cell r="K25"><v>8787</v></cell><cell r="L25"><v>2929</v></cell></row><row r="25"><cell r="N25"><v>29</v></cell></row><row r="25"><cell r="R25"><v>29290</v></cell></row><row r="26"><cell r="B26"><v>1676</v></cell><cell r="C26" t="str"><v>Suresh Kumar T</v></cell><cell r="D26" t="str"><v>Territory Sales Manager</v></cell><cell r="E26"><v>19680</v></cell><cell r="F26"><v>9840</v></cell><cell r="G26"><v>3280</v></cell></row><row r="26"><cell r="I26"><v>32800</v></cell><cell r="J26"><v>19680</v></cell><cell r="K26"><v>9840</v></cell><cell r="L26"><v>3280</v></cell></row><row r="26"><cell r="N26"><v>30</v></cell></row><row r="26"><cell r="R26"><v>32800</v></cell></row><row r="27"><cell r="B27"><v>1849</v></cell><cell r="C27" t="str"><v>Ninusha C M</v></cell><cell r="D27" t="str"><v>Jr.Executive-HR</v></cell><cell r="E27"><v>9840</v></cell><cell r="F27"><v>4920</v></cell><cell r="G27"><v>1640</v></cell></row><row r="27"><cell r="I27"><v>16400</v></cell><cell r="J27"><v>9840</v></cell><cell r="K27"><v>4920</v></cell><cell r="L27"><v>1640</v></cell></row><row r="27"><cell r="N27"><v>29.5</v></cell></row><row r="27"><cell r="P27"><v>0.5</v></cell></row><row r="27"><cell r="R27"><v>16400</v></cell></row><row r="28"><cell r="B28"><v>2328</v></cell><cell r="C28" t="str"><v>Bindu Anil</v></cell><cell r="D28" t="str"><v>Jr.Executive- Quality</v></cell><cell r="E28"><v>9438</v></cell><cell r="F28"><v>4719</v></cell><cell r="G28"><v>1573</v></cell></row><row r="28"><cell r="I28"><v>15730</v></cell><cell r="J28"><v>9438</v></cell><cell r="K28"><v>4719</v></cell><cell r="L28"><v>1573</v></cell></row><row r="28"><cell r="N28"><v>29</v></cell></row><row r="28"><cell r="P28"><v>1</v></cell></row><row r="28"><cell r="R28"><v>15730</v></cell></row><row r="29"><cell r="B29"><v>2486</v></cell><cell r="C29" t="str"><v>ANIL KUMAR M R</v></cell><cell r="D29" t="str"><v>Jr.Executive logistics</v></cell><cell r="E29"><v>12108</v></cell><cell r="F29"><v>6054</v></cell><cell r="G29"><v>2018</v></cell></row><row r="29"><cell r="I29"><v>20180</v></cell><cell r="J29"><v>12108</v></cell><cell r="K29"><v>6054</v></cell><cell r="L29"><v>2018</v></cell></row><row r="29"><cell r="N29"><v>29</v></cell></row><row r="29"><cell r="P29"><v>1</v></cell></row><row r="29"><cell r="R29"><v>20180</v></cell></row><row r="30"><cell r="B30"><v>2568</v></cell><cell r="C30" t="str"><v>Shaheed V S</v></cell><cell r="D30" t="str"><v>Territory Sales Executive</v></cell><cell r="E30"><v>12870</v></cell><cell r="F30"><v>6435</v></cell><cell r="G30"><v>2145</v></cell></row><row r="30"><cell r="I30"><v>21450</v></cell><cell r="J30"><v>12870</v></cell><cell r="K30"><v>6435</v></cell><cell r="L30"><v>2145</v></cell></row><row r="30"><cell r="N30"><v>29</v></cell></row><row r="30"><cell r="P30"><v>1</v></cell></row><row r="30"><cell r="R30"><v>21450</v></cell></row><row r="31"><cell r="B31"><v>2611</v></cell><cell r="C31" t="str"><v>SANTHOSH C JOSE</v></cell><cell r="D31" t="str"><v>Sr.Manager-Projects & EHS</v></cell><cell r="E31"><v>54246</v></cell><cell r="F31"><v>27123</v></cell><cell r="G31"><v>9041</v></cell></row><row r="31"><cell r="I31"><v>90410</v></cell><cell r="J31"><v>54246</v></cell><cell r="K31"><v>27123</v></cell><cell r="L31"><v>9041</v></cell></row><row r="31"><cell r="N31"><v>30</v></cell></row><row r="31"><cell r="R31"><v>90410</v></cell></row><row r="32"><cell r="B32"><v>2883</v></cell><cell r="C32" t="str"><v>Shajimon K P</v></cell><cell r="D32" t="str"><v>Manager - Engineering</v></cell><cell r="E32"><v>42234</v></cell><cell r="F32"><v>21117</v></cell><cell r="G32"><v>7039</v></cell></row><row r="32"><cell r="I32"><v>70390</v></cell><cell r="J32"><v>42234</v></cell><cell r="K32"><v>21117</v></cell><cell r="L32"><v>7039</v></cell></row><row r="32"><cell r="N32"><v>25</v></cell></row><row r="32"><cell r="P32"><v>1</v></cell></row><row r="32"><cell r="R32"><v>70390</v></cell></row><row r="33"><cell r="B33"><v>2936</v></cell><cell r="C33" t="str"><v>AASHID M K</v></cell><cell r="D33" t="str"><v>Logistics Assistant</v></cell><cell r="E33"><v>10056</v></cell><cell r="F33"><v>5028</v></cell><cell r="G33"><v>1676</v></cell></row><row r="33"><cell r="I33"><v>16760</v></cell><cell r="J33"><v>10056</v></cell><cell r="K33"><v>5028</v></cell><cell r="L33"><v>1676</v></cell></row><row r="33"><cell r="N33"><v>29.5</v></cell></row><row r="33"><cell r="P33"><v>0.5</v></cell></row><row r="33"><cell r="R33"><v>16760</v></cell></row><row r="34"><cell r="B34"><v>2944</v></cell><cell r="C34" t="str"><v>VINEETH NALANAKSHAN</v></cell><cell r="D34" t="str"><v>Assistant - Quality Assur</v></cell><cell r="E34"><v>9174</v></cell><cell r="F34"><v>4587</v></cell><cell r="G34"><v>1529</v></cell></row><row r="34"><cell r="I34"><v>15290</v></cell><cell r="J34"><v>9174</v></cell><cell r="K34"><v>4587</v></cell><cell r="L34"><v>1529</v></cell></row><row r="34"><cell r="N34"><v>28</v></cell></row><row r="34"><cell r="P34"><v>2</v></cell></row><row r="34"><cell r="R34"><v>15290</v></cell></row><row r="35"><cell r="B35"><v>3085</v></cell><cell r="C35" t="str"><v>RAJESH A</v></cell><cell r="D35" t="str"><v>Executive - Materials</v></cell><cell r="E35"><v>13590</v></cell><cell r="F35"><v>6795</v></cell><cell r="G35"><v>2265</v></cell><cell r="H35"><v>750</v></cell><cell r="I35"><v>23400</v></cell><cell r="J35"><v>13590</v></cell><cell r="K35"><v>6795</v></cell><cell r="L35"><v>2265</v></cell><cell r="M35"><v>750</v></cell><cell r="N35"><v>28</v></cell></row><row r="35"><cell r="P35"><v>2</v></cell></row><row r="35"><cell r="R35"><v>23400</v></cell></row><row r="36"><cell r="B36"><v>3188</v></cell><cell r="C36" t="str"><v>Aneesh P R</v></cell><cell r="D36" t="str"><v>Asst. Manager - HR</v></cell><cell r="E36"><v>27384</v></cell><cell r="F36"><v>13692</v></cell><cell r="G36"><v>4564</v></cell></row><row r="36"><cell r="I36"><v>45640</v></cell><cell r="J36"><v>27384</v></cell><cell r="K36"><v>13692</v></cell><cell r="L36"><v>4564</v></cell></row><row r="36"><cell r="N36"><v>28</v></cell></row><row r="36"><cell r="R36"><v>45640</v></cell></row><row r="37"><cell r="B37"><v>3189</v></cell><cell r="C37" t="str"><v>Sudheer K V</v></cell><cell r="D37" t="str"><v>Merchandiser</v></cell><cell r="E37"><v>13122</v></cell><cell r="F37"><v>6561</v></cell><cell r="G37"><v>2187</v></cell></row><row r="37"><cell r="I37"><v>21870</v></cell><cell r="J37"><v>13122</v></cell><cell r="K37"><v>6561</v></cell><cell r="L37"><v>2187</v></cell></row><row r="37"><cell r="N37"><v>30</v></cell></row><row r="37"><cell r="R37"><v>21870</v></cell></row><row r="38"><cell r="B38"><v>3190</v></cell><cell r="C38" t="str"><v>Santhosh Kumar K V</v></cell><cell r="D38" t="str"><v>Merchandiser</v></cell><cell r="E38"><v>12690</v></cell><cell r="F38"><v>6345</v></cell><cell r="G38"><v>2115</v></cell></row><row r="38"><cell r="I38"><v>21150</v></cell><cell r="J38"><v>12690</v></cell><cell r="K38"><v>6345</v></cell><cell r="L38"><v>2115</v></cell></row><row r="38"><cell r="N38"><v>30</v></cell></row><row r="38"><cell r="R38"><v>21150</v></cell></row><row r="39"><cell r="B39"><v>3191</v></cell><cell r="C39" t="str"><v>HarshaKumar V R</v></cell><cell r="D39" t="str"><v>Territory Sales Executive</v></cell><cell r="E39"><v>13458</v></cell><cell r="F39"><v>6729</v></cell><cell r="G39"><v>2243</v></cell></row><row r="39"><cell r="I39"><v>22430</v></cell><cell r="J39"><v>13458</v></cell><cell r="K39"><v>6729</v></cell><cell r="L39"><v>2243</v></cell></row><row r="39"><cell r="N39"><v>29</v></cell></row><row r="39"><cell r="P39"><v>1</v></cell></row><row r="39"><cell r="R39"><v>22430</v></cell></row><row r="40"><cell r="B40"><v>3192</v></cell><cell r="C40" t="str"><v>Mohammed Farooq</v></cell><cell r="D40" t="str"><v>Maintenance Supervisor</v></cell><cell r="E40"><v>12852</v></cell><cell r="F40"><v>6426</v></cell><cell r="G40"><v>2142</v></cell></row><row r="40"><cell r="I40"><v>21420</v></cell><cell r="J40"><v>12852</v></cell><cell r="K40"><v>6426</v></cell><cell r="L40"><v>2142</v></cell></row><row r="40"><cell r="N40"><v>29.5</v></cell></row><row r="40"><cell r="P40"><v>0.5</v></cell></row><row r="40"><cell r="R40"><v>21420</v></cell></row><row r="41"><cell r="B41"><v>3318</v></cell><cell r="C41" t="str"><v>SAJITH M K</v></cell><cell r="D41" t="str"><v>Supervisor - Mechanical</v></cell><cell r="E41"><v>10836</v></cell><cell r="F41"><v>5418</v></cell><cell r="G41"><v>1806</v></cell></row><row r="41"><cell r="I41"><v>18060</v></cell><cell r="J41"><v>10836</v></cell><cell r="K41"><v>5418</v></cell><cell r="L41"><v>1806</v></cell></row><row r="41"><cell r="N41"><v>29</v></cell></row><row r="41"><cell r="P41"><v>1</v></cell></row><row r="41"><cell r="R41"><v>18060</v></cell></row><row r="42"><cell r="B42"><v>3349</v></cell><cell r="C42" t="str"><v>SREEKANTH K S</v></cell><cell r="D42" t="str"><v>SR.ASSISTANT purchase</v></cell><cell r="E42"><v>7392</v></cell><cell r="F42"><v>3696</v></cell><cell r="G42"><v>1232</v></cell></row><row r="42"><cell r="I42"><v>12320</v></cell><cell r="J42"><v>7392</v></cell><cell r="K42"><v>3696</v></cell><cell r="L42"><v>1232</v></cell></row><row r="42"><cell r="N42"><v>29.5</v></cell></row><row r="42"><cell r="P42"><v>0.5</v></cell></row><row r="42"><cell r="R42"><v>12320</v></cell></row><row r="43"><cell r="B43"><v>3362</v></cell><cell r="C43" t="str"><v>SHYLESH V P</v></cell><cell r="D43" t="str"><v> FG -STORE ASST. TRAINEE</v></cell><cell r="E43"><v>9000</v></cell><cell r="F43"><v>4500</v></cell><cell r="G43"><v>1500</v></cell></row><row r="43"><cell r="I43"><v>15000</v></cell><cell r="J43"><v>9000</v></cell><cell r="K43"><v>4500</v></cell><cell r="L43"><v>1500</v></cell></row><row r="43"><cell r="N43"><v>30</v></cell></row><row r="43"><cell r="R43"><v>15000</v></cell></row><row r="44"><cell r="B44"><v>3395</v></cell><cell r="C44" t="str"><v>JAMES VARKEY MANDAPATHIL</v></cell><cell r="D44" t="str"><v>Sr.Area Sales Manager</v></cell><cell r="E44"><v>34800</v></cell><cell r="F44"><v>17400</v></cell><cell r="G44"><v>5800</v></cell></row><row r="44"><cell r="I44"><v>58000</v></cell><cell r="J44"><v>34800</v></cell><cell r="K44"><v>17400</v></cell><cell r="L44"><v>5800</v></cell></row><row r="44"><cell r="N44"><v>29</v></cell></row><row r="44"><cell r="R44"><v>58000</v></cell></row><row r="45"><cell r="B45"><v>3413</v></cell><cell r="C45" t="str"><v>Praveen Das</v></cell><cell r="D45" t="str"><v>Assistant Maintanance Sup</v></cell><cell r="E45"><v>7740</v></cell><cell r="F45"><v>3870</v></cell><cell r="G45"><v>1290</v></cell></row><row r="45"><cell r="I45"><v>12900</v></cell><cell r="J45"><v>7740</v></cell><cell r="K45"><v>3870</v></cell><cell r="L45"><v>1290</v></cell></row><row r="45"><cell r="N45"><v>30</v></cell></row><row r="45"><cell r="R45"><v>12900</v></cell></row><row r="46"><cell r="B46"><v>3472</v></cell><cell r="C46" t="str"><v>RAJESH KUMAR K M</v></cell><cell r="D46" t="str"><v>Territory Sales Executive</v></cell><cell r="E46"><v>10140</v></cell><cell r="F46"><v>5070</v></cell><cell r="G46"><v>1690</v></cell></row><row r="46"><cell r="I46"><v>16900</v></cell><cell r="J46"><v>10140</v></cell><cell r="K46"><v>5070</v></cell><cell r="L46"><v>1690</v></cell></row><row r="46"><cell r="N46"><v>30</v></cell></row><row r="46"><cell r="R46"><v>16900</v></cell></row><row r="47"><cell r="B47"><v>3507</v></cell><cell r="C47" t="str"><v>DINESH T T</v></cell><cell r="D47" t="str"><v>Assistant Security Superv</v></cell><cell r="E47"><v>10092</v></cell><cell r="F47"><v>5046</v></cell><cell r="G47"><v>1682</v></cell></row><row r="47"><cell r="I47"><v>16820</v></cell><cell r="J47"><v>10092</v></cell><cell r="K47"><v>5046</v></cell><cell r="L47"><v>1682</v></cell></row><row r="47"><cell r="N47"><v>29</v></cell></row><row r="47"><cell r="P47"><v>1</v></cell></row><row r="47"><cell r="R47"><v>16820</v></cell></row><row r="48"><cell r="B48"><v>3521</v></cell><cell r="C48" t="str"><v>Babu V R</v></cell><cell r="D48" t="str"><v>Driver Kalamassery</v></cell><cell r="E48"><v>9756</v></cell><cell r="F48"><v>4878</v></cell><cell r="G48"><v>1626</v></cell></row><row r="48"><cell r="I48"><v>16260</v></cell><cell r="J48"><v>9756</v></cell><cell r="K48"><v>4878</v></cell><cell r="L48"><v>1626</v></cell></row><row r="48"><cell r="N48"><v>30</v></cell></row><row r="48"><cell r="R48"><v>16260</v></cell></row><row r="49"><cell r="B49"><v>3522</v></cell><cell r="C49" t="str"><v>Derik Paul</v></cell><cell r="D49" t="str"><v>Logistics Assistant</v></cell><cell r="E49"><v>8400</v></cell><cell r="F49"><v>4200</v></cell><cell r="G49"><v>1400</v></cell></row><row r="49"><cell r="I49"><v>14000</v></cell><cell r="J49"><v>8400</v></cell><cell r="K49"><v>4200</v></cell><cell r="L49"><v>1400</v></cell></row><row r="49"><cell r="N49"><v>30</v></cell></row><row r="49"><cell r="R49"><v>14000</v></cell></row><row r="50"><cell r="B50"><v>3544</v></cell><cell r="C50" t="str"><v>Abey Vinnifred</v></cell><cell r="D50" t="str"><v>Sr. Executive Production</v></cell><cell r="E50"><v>18450</v></cell><cell r="F50"><v>9225</v></cell><cell r="G50"><v>3075</v></cell></row><row r="50"><cell r="I50"><v>30750</v></cell><cell r="J50"><v>18450</v></cell><cell r="K50"><v>9225</v></cell><cell r="L50"><v>3075</v></cell></row><row r="50"><cell r="N50"><v>28</v></cell></row><row r="50"><cell r="P50"><v>1</v></cell></row><row r="50"><cell r="R50"><v>30750</v></cell></row><row r="51"><cell r="B51"><v>3547</v></cell><cell r="C51" t="str"><v>Savithri M A</v></cell><cell r="D51" t="str"><v>Asst Manager  - Internal</v></cell><cell r="E51"><v>27024</v></cell><cell r="F51"><v>13512</v></cell><cell r="G51"><v>4504</v></cell></row><row r="51"><cell r="I51"><v>45040</v></cell><cell r="J51"><v>27024</v></cell><cell r="K51"><v>13512</v></cell><cell r="L51"><v>4504</v></cell></row><row r="51"><cell r="N51"><v>29</v></cell></row><row r="51"><cell r="P51"><v>1</v></cell></row><row r="51"><cell r="R51"><v>45040</v></cell></row><row r="52"><cell r="B52"><v>3548</v></cell><cell r="C52" t="str"><v>Akhil Rjendran</v></cell><cell r="D52" t="str"><v>Territory Sales Executive</v></cell><cell r="E52"><v>10248</v></cell><cell r="F52"><v>5124</v></cell><cell r="G52"><v>1708</v></cell></row><row r="52"><cell r="I52"><v>17080</v></cell><cell r="J52"><v>10248</v></cell><cell r="K52"><v>5124</v></cell><cell r="L52"><v>1708</v></cell></row><row r="52"><cell r="N52"><v>30</v></cell></row><row r="52"><cell r="R52"><v>17080</v></cell></row><row r="53"><cell r="B53"><v>3574</v></cell><cell r="C53" t="str"><v>Subramania  Rao B</v></cell><cell r="D53" t="str"><v>Office Assistant</v></cell><cell r="E53"><v>8394</v></cell><cell r="F53"><v>4197</v></cell><cell r="G53"><v>1399</v></cell></row><row r="53"><cell r="I53"><v>13990</v></cell><cell r="J53"><v>8394</v></cell><cell r="K53"><v>4197</v></cell><cell r="L53"><v>1399</v></cell></row><row r="53"><cell r="N53"><v>27</v></cell></row><row r="53"><cell r="P53"><v>3</v></cell></row><row r="53"><cell r="R53"><v>13990</v></cell></row><row r="54"><cell r="B54"><v>3582</v></cell><cell r="C54" t="str"><v>Sumesh.K.S .</v></cell><cell r="D54" t="str"><v>Sales Accountant</v></cell><cell r="E54"><v>8538</v></cell><cell r="F54"><v>4269</v></cell><cell r="G54"><v>1423</v></cell></row><row r="54"><cell r="I54"><v>14230</v></cell><cell r="J54"><v>8538</v></cell><cell r="K54"><v>4269</v></cell><cell r="L54"><v>1423</v></cell></row><row r="54"><cell r="N54"><v>30</v></cell></row><row r="54"><cell r="R54"><v>14230</v></cell></row><row r="55"><cell r="B55"><v>3591</v></cell><cell r="C55" t="str"><v>JAYACHANDRAN P V</v></cell><cell r="D55" t="str"><v>Logistics Assistant</v></cell><cell r="E55"><v>8184</v></cell><cell r="F55"><v>4092</v></cell><cell r="G55"><v>1364</v></cell></row><row r="55"><cell r="I55"><v>13640</v></cell><cell r="J55"><v>8184</v></cell><cell r="K55"><v>4092</v></cell><cell r="L55"><v>1364</v></cell></row><row r="55"><cell r="N55"><v>29.5</v></cell></row><row r="55"><cell r="P55"><v>0.5</v></cell></row><row r="55"><cell r="R55"><v>13640</v></cell></row><row r="56"><cell r="B56"><v>3597</v></cell><cell r="C56" t="str"><v>VISHNU RAVEENDRAN</v></cell><cell r="D56" t="str"><v>Asistant-FG Store</v></cell><cell r="E56"><v>6000</v></cell><cell r="F56"><v>3000</v></cell><cell r="G56"><v>1000</v></cell></row><row r="56"><cell r="I56"><v>10000</v></cell><cell r="J56"><v>6000</v></cell><cell r="K56"><v>3000</v></cell><cell r="L56"><v>1000</v></cell></row><row r="56"><cell r="N56"><v>30</v></cell></row><row r="56"><cell r="R56"><v>10000</v></cell></row><row r="57"><cell r="B57"><v>3867</v></cell><cell r="C57" t="str"><v>SREEKUMAR.S .</v></cell><cell r="D57" t="str"><v>Dy. Manager-Accounts</v></cell><cell r="E57"><v>23388</v></cell><cell r="F57"><v>11694</v></cell><cell r="G57"><v>3898</v></cell></row><row r="57"><cell r="I57"><v>38980</v></cell><cell r="J57"><v>23388</v></cell><cell r="K57"><v>11694</v></cell><cell r="L57"><v>3898</v></cell></row><row r="57"><cell r="N57"><v>30</v></cell></row><row r="57"><cell r="R57"><v>38980</v></cell></row><row r="58"><cell r="B58"><v>3925</v></cell><cell r="C58" t="str"><v>VINEETHA.M.NAIR .</v></cell><cell r="D58" t="str"><v>Microbiologist</v></cell><cell r="E58"><v>7200</v></cell><cell r="F58"><v>3600</v></cell><cell r="G58"><v>1200</v></cell></row><row r="58"><cell r="I58"><v>12000</v></cell><cell r="J58"><v>7200</v></cell><cell r="K58"><v>3600</v></cell><cell r="L58"><v>1200</v></cell></row><row r="58"><cell r="N58"><v>30</v></cell></row><row r="58"><cell r="R58"><v>12000</v></cell></row><row r="59"><cell r="B59"><v>3951</v></cell><cell r="C59" t="str"><v>NANDAKUMAR.V .</v></cell><cell r="D59" t="str"><v>Assistant Accounts</v></cell><cell r="E59"><v>6870</v></cell><cell r="F59"><v>3435</v></cell><cell r="G59"><v>1145</v></cell></row><row r="59"><cell r="I59"><v>11450</v></cell><cell r="J59"><v>4809</v></cell><cell r="K59"><v>2404.5</v></cell><cell r="L59"><v>801.5</v></cell></row><row r="59"><cell r="N59"><v>21</v></cell><cell r="O59"><v>9</v></cell></row><row r="59"><cell r="R59"><v>8015</v></cell></row><row r="60"><cell r="B60"><v>3991</v></cell><cell r="C60" t="str"><v>KRISHNAKUMAR.M.C .</v></cell><cell r="D60" t="str"><v>Territory Sales Executive</v></cell><cell r="E60"><v>8730</v></cell><cell r="F60"><v>4365</v></cell><cell r="G60"><v>1455</v></cell></row><row r="60"><cell r="I60"><v>14550</v></cell><cell r="J60"><v>8730</v></cell><cell r="K60"><v>4365</v></cell><cell r="L60"><v>1455</v></cell></row><row r="60"><cell r="N60"><v>29</v></cell></row><row r="60"><cell r="P60"><v>1</v></cell></row><row r="60"><cell r="R60"><v>14550</v></cell></row><row r="61"><cell r="B61"><v>3995</v></cell><cell r="C61" t="str"><v>VISHNU.S .</v></cell><cell r="D61" t="str"><v>Territory Sales Exe.-Koll</v></cell><cell r="E61"><v>8058</v></cell><cell r="F61"><v>4029</v></cell><cell r="G61"><v>1343</v></cell></row><row r="61"><cell r="I61"><v>13430</v></cell><cell r="J61"><v>8058</v></cell><cell r="K61"><v>4029</v></cell><cell r="L61"><v>1343</v></cell></row><row r="61"><cell r="N61"><v>30</v></cell></row><row r="61"><cell r="R61"><v>13430</v></cell></row><row r="62"><cell r="B62"><v>4008</v></cell><cell r="C62" t="str"><v>NOUSHAD.M .</v></cell><cell r="D62" t="str"><v>Territory Sales Executive</v></cell><cell r="E62"><v>8328</v></cell><cell r="F62"><v>4164</v></cell><cell r="G62"><v>1388</v></cell></row><row r="62"><cell r="I62"><v>13880</v></cell><cell r="J62"><v>3331.2</v></cell><cell r="K62"><v>1665.6</v></cell><cell r="L62"><v>555.2</v></cell></row><row r="62"><cell r="N62"><v>2</v></cell><cell r="O62"><v>18</v></cell><cell r="P62"><v>3</v></cell><cell r="Q62"><v>7</v></cell><cell r="R62"><v>5552</v></cell></row><row r="63"><cell r="B63"><v>4030</v></cell><cell r="C63" t="str"><v>B.ANIL KUMAR .</v></cell><cell r="D63" t="str"><v>Supervisor-Security</v></cell><cell r="E63"><v>9000</v></cell><cell r="F63"><v>4500</v></cell><cell r="G63"><v>1500</v></cell></row><row r="63"><cell r="I63"><v>15000</v></cell><cell r="J63"><v>9000</v></cell><cell r="K63"><v>4500</v></cell><cell r="L63"><v>1500</v></cell></row><row r="63"><cell r="N63"><v>30</v></cell></row><row r="63"><cell r="R63"><v>15000</v></cell></row><row r="64"><cell r="B64"><v>4169</v></cell><cell r="C64" t="str"><v>JOE PAUL.K .</v></cell><cell r="D64" t="str"><v>Trainee-Management Audit</v></cell><cell r="E64"><v>16200</v></cell><cell r="F64"><v>8100</v></cell><cell r="G64"><v>2700</v></cell></row><row r="64"><cell r="I64"><v>27000</v></cell><cell r="J64"><v>7560</v></cell><cell r="K64"><v>3780</v></cell><cell r="L64"><v>1260</v></cell></row><row r="64"><cell r="N64"><v>14</v></cell><cell r="O64"><v>16</v></cell></row><row r="64"><cell r="R64"><v>12600</v></cell></row><row r="65"><cell r="B65"><v>4175</v></cell><cell r="C65" t="str"><v>ANUP GEORGE .</v></cell><cell r="D65" t="str"><v>Sr.Exexcutive- Food Safet</v></cell><cell r="E65"><v>16800</v></cell><cell r="F65"><v>8400</v></cell><cell r="G65"><v>2800</v></cell></row><row r="65"><cell r="I65"><v>28000</v></cell><cell r="J65"><v>16800</v></cell><cell r="K65"><v>8400</v></cell><cell r="L65"><v>2800</v></cell></row><row r="65"><cell r="N65"><v>30</v></cell></row><row r="65"><cell r="R65"><v>28000</v></cell></row><row r="66"><cell r="B66"><v>4364</v></cell><cell r="C66" t="str"><v>ABDUL JABAR.P.P .</v></cell><cell r="D66" t="str"><v>Territory Sales Executive</v></cell><cell r="E66"><v>9000</v></cell><cell r="F66"><v>4500</v></cell><cell r="G66"><v>1500</v></cell></row><row r="66"><cell r="I66"><v>15000</v></cell><cell r="J66"><v>9000</v></cell><cell r="K66"><v>4500</v></cell><cell r="L66"><v>1500</v></cell></row><row r="66"><cell r="N66"><v>30</v></cell></row><row r="66"><cell r="R66"><v>15000</v></cell></row><row r="67"><cell r="B67"><v>4367</v></cell><cell r="C67" t="str"><v>JAYADEVAN.P .</v></cell><cell r="D67" t="str"><v>Key Accounts Manager</v></cell><cell r="E67"><v>27770</v></cell><cell r="F67"><v>13885</v></cell><cell r="G67"><v>4629</v></cell></row><row r="67"><cell r="I67"><v>46284</v></cell><cell r="J67"><v>27770</v></cell><cell r="K67"><v>13885</v></cell><cell r="L67"><v>4629</v></cell></row><row r="67"><cell r="N67"><v>28</v></cell></row><row r="67"><cell r="R67"><v>46284</v></cell></row><row r="68"><cell r="B68"><v>4371</v></cell><cell r="C68" t="str"><v>VIJIL.P.R .</v></cell><cell r="D68" t="str"><v>Jr.Executive-Accounts</v></cell><cell r="E68"><v>9000</v></cell><cell r="F68"><v>4500</v></cell><cell r="G68"><v>1500</v></cell></row><row r="68"><cell r="I68"><v>15000</v></cell><cell r="J68"><v>9000</v></cell><cell r="K68"><v>4500</v></cell><cell r="L68"><v>1500</v></cell></row><row r="68"><cell r="N68"><v>29</v></cell></row><row r="68"><cell r="P68"><v>1</v></cell></row><row r="68"><cell r="R68"><v>15000</v></cell></row><row r="69"><cell r="B69"><v>4373</v></cell><cell r="C69" t="str"><v>ANOOP.C .</v></cell><cell r="D69" t="str"><v>Territory Sales Manager</v></cell><cell r="E69"><v>21000</v></cell><cell r="F69"><v>10500</v></cell><cell r="G69"><v>3500</v></cell></row><row r="69"><cell r="I69"><v>35000</v></cell><cell r="J69"><v>21000</v></cell><cell r="K69"><v>10500</v></cell><cell r="L69"><v>3500</v></cell></row><row r="69"><cell r="N69"><v>30</v></cell></row><row r="69"><cell r="R69"><v>35000</v></cell></row><row r="70"><cell r="B70"><v>4374</v></cell><cell r="C70" t="str"><v>MURALIKRISHNAN.A.C .</v></cell><cell r="D70" t="str"><v>Territory Sales Executive</v></cell><cell r="E70"><v>8100</v></cell><cell r="F70"><v>4050</v></cell><cell r="G70"><v>1350</v></cell></row><row r="70"><cell r="I70"><v>13500</v></cell><cell r="J70"><v>8100</v></cell><cell r="K70"><v>4050</v></cell><cell r="L70"><v>1350</v></cell></row><row r="70"><cell r="N70"><v>27</v></cell></row><row r="70"><cell r="P70"><v>3</v></cell></row><row r="70"><cell r="R70"><v>13500</v></cell></row><row r="71"><cell r="B71"><v>4375</v></cell><cell r="C71" t="str"><v>VARGHESE THOMAS .</v></cell><cell r="D71" t="str"><v>Territory Sales Executive</v></cell><cell r="E71"><v>8700</v></cell><cell r="F71"><v>4350</v></cell><cell r="G71"><v>1450</v></cell></row><row r="71"><cell r="I71"><v>14500</v></cell><cell r="J71"><v>8700</v></cell><cell r="K71"><v>4350</v></cell><cell r="L71"><v>1450</v></cell></row><row r="71"><cell r="N71"><v>28</v></cell></row><row r="71"><cell r="P71"><v>2</v></cell></row><row r="71"><cell r="R71"><v>14500</v></cell></row><row r="72"><cell r="B72"><v>4425</v></cell><cell r="C72" t="str"><v>JITHU.K.S .</v></cell><cell r="D72" t="str"><v>Territory Sales Executive</v></cell><cell r="E72"><v>14400</v></cell><cell r="F72"><v>7200</v></cell><cell r="G72"><v>2400</v></cell></row><row r="72"><cell r="I72"><v>24000</v></cell><cell r="J72"><v>14400</v></cell><cell r="K72"><v>7200</v></cell><cell r="L72"><v>2400</v></cell></row><row r="72"><cell r="N72"><v>30</v></cell></row><row r="72"><cell r="R72"><v>24000</v></cell></row><row r="73"><cell r="B73"><v>4428</v></cell><cell r="C73" t="str"><v>ANOOP.K .</v></cell><cell r="D73" t="str"><v>Territory Sales Executive</v></cell><cell r="E73"><v>9000</v></cell><cell r="F73"><v>4500</v></cell><cell r="G73"><v>1500</v></cell></row><row r="73"><cell r="I73"><v>15000</v></cell><cell r="J73"><v>9000</v></cell><cell r="K73"><v>4500</v></cell><cell r="L73"><v>1500</v></cell></row><row r="73"><cell r="N73"><v>30</v></cell></row><row r="73"><cell r="R73"><v>15000</v></cell></row><row r="74"><cell r="B74"><v>4436</v></cell><cell r="C74" t="str"><v>PRASHANT GANESH GOKARAN .</v></cell><cell r="D74" t="str"><v>Sr.Manager-Packaging</v></cell><cell r="E74"><v>46455</v></cell><cell r="F74"><v>23228</v></cell><cell r="G74"><v>7742</v></cell></row><row r="74"><cell r="I74"><v>77425</v></cell><cell r="J74"><v>46455</v></cell><cell r="K74"><v>23228</v></cell><cell r="L74"><v>7742</v></cell></row><row r="74"><cell r="N74"><v>29</v></cell></row><row r="74"><cell r="P74"><v>1</v></cell></row><row r="74"><cell r="R74"><v>77425</v></cell></row><row r="75"><cell r="B75"><v>4485</v></cell><cell r="C75" t="str"><v>Nithul Madhusudanan .</v></cell><cell r="D75" t="str"><v>Territory Sales Executive</v></cell><cell r="E75"><v>8700</v></cell><cell r="F75"><v>4350</v></cell><cell r="G75"><v>1450</v></cell></row><row r="75"><cell r="I75"><v>14500</v></cell><cell r="J75"><v>8700</v></cell><cell r="K75"><v>4350</v></cell><cell r="L75"><v>1450</v></cell></row><row r="75"><cell r="N75"><v>30</v></cell></row><row r="75"><cell r="R75"><v>14500</v></cell></row><row r="76"><cell r="B76"><v>4532</v></cell><cell r="C76" t="str"><v>VISHNU PRASDA.R .</v></cell><cell r="D76" t="str"><v>Territory Sales Exe.-Erna</v></cell><cell r="E76"><v>11400</v></cell><cell r="F76"><v>5700</v></cell><cell r="G76"><v>1900</v></cell></row><row r="76"><cell r="I76"><v>19000</v></cell><cell r="J76"><v>11400</v></cell><cell r="K76"><v>5700</v></cell><cell r="L76"><v>1900</v></cell></row><row r="76"><cell r="N76"><v>29</v></cell></row><row r="76"><cell r="P76"><v>1</v></cell></row><row r="76"><cell r="R76"><v>19000</v></cell></row><row r="77"><cell r="B77"><v>4534</v></cell><cell r="C77" t="str"><v>RANJEET.N .</v></cell><cell r="D77" t="str"><v>Territory Sales Executive</v></cell><cell r="E77"><v>10800</v></cell><cell r="F77"><v>5400</v></cell><cell r="G77"><v>1800</v></cell></row><row r="77"><cell r="I77"><v>18000</v></cell><cell r="J77"><v>10800</v></cell><cell r="K77"><v>5400</v></cell><cell r="L77"><v>1800</v></cell></row><row r="77"><cell r="N77"><v>28</v></cell></row><row r="77"><cell r="P77"><v>2</v></cell></row><row r="77"><cell r="R77"><v>18000</v></cell></row><row r="78"><cell r="B78"><v>4539</v></cell><cell r="C78" t="str"><v>VIPIN.K.V .</v></cell><cell r="D78" t="str"><v>Territory Sales Executive</v></cell><cell r="E78"><v>10200</v></cell><cell r="F78"><v>5100</v></cell><cell r="G78"><v>1700</v></cell></row><row r="78"><cell r="I78"><v>17000</v></cell><cell r="J78"><v>10200</v></cell><cell r="K78"><v>5100</v></cell><cell r="L78"><v>1700</v></cell></row><row r="78"><cell r="N78"><v>27</v></cell></row><row r="78"><cell r="P78"><v>3</v></cell></row><row r="78"><cell r="R78"><v>17000</v></cell></row><row r="79"><cell r="B79"><v>4549</v></cell><cell r="C79" t="str"><v>MANIKANDAN.C .</v></cell><cell r="D79" t="str"><v>Territory Sales Executive</v></cell><cell r="E79"><v>10200</v></cell><cell r="F79"><v>5100</v></cell><cell r="G79"><v>1700</v></cell></row><row r="79"><cell r="I79"><v>17000</v></cell><cell r="J79"><v>10200</v></cell><cell r="K79"><v>5100</v></cell><cell r="L79"><v>1700</v></cell></row><row r="79"><cell r="N79"><v>30</v></cell></row><row r="79"><cell r="R79"><v>17000</v></cell></row><row r="80"><cell r="B80"><v>4555</v></cell><cell r="C80" t="str"><v>AJEESH.K.R .</v></cell><cell r="D80" t="str"><v>Executive-MIS &Sales Admi</v></cell><cell r="E80"><v>11400</v></cell><cell r="F80"><v>5700</v></cell><cell r="G80"><v>1900</v></cell></row><row r="80"><cell r="I80"><v>19000</v></cell><cell r="J80"><v>11400</v></cell><cell r="K80"><v>5700</v></cell><cell r="L80"><v>1900</v></cell></row><row r="80"><cell r="N80"><v>28</v></cell></row><row r="80"><cell r="P80"><v>2</v></cell></row><row r="80"><cell r="R80"><v>19000</v></cell></row><row r="81"><cell r="B81"><v>4583</v></cell><cell r="C81" t="str"><v>SUJITH.M .</v></cell><cell r="D81" t="str"><v>Sr.Territory Sales Execut</v></cell><cell r="E81"><v>15300</v></cell><cell r="F81"><v>7650</v></cell><cell r="G81"><v>2550</v></cell></row><row r="81"><cell r="I81"><v>25500</v></cell><cell r="J81"><v>15300</v></cell><cell r="K81"><v>7650</v></cell><cell r="L81"><v>2550</v></cell></row><row r="81"><cell r="N81"><v>26</v></cell></row><row r="81"><cell r="P81"><v>4</v></cell></row><row r="81"><cell r="R81"><v>25500</v></cell></row><row r="82"><cell r="B82"><v>4931</v></cell><cell r="C82" t="str"><v>RAKESH SIVADAS .</v></cell><cell r="D82" t="str"><v>Territory Sales Manager</v></cell><cell r="E82"><v>20400</v></cell><cell r="F82"><v>10200</v></cell><cell r="G82"><v>3400</v></cell></row><row r="82"><cell r="I82"><v>34000</v></cell><cell r="J82"><v>20400</v></cell><cell r="K82"><v>10200</v></cell><cell r="L82"><v>3400</v></cell></row><row r="82"><cell r="N82"><v>26</v></cell></row><row r="82"><cell r="P82"><v>2</v></cell></row><row r="82"><cell r="R82"><v>34000</v></cell></row><row r="83"><cell r="B83"><v>4938</v></cell><cell r="C83" t="str"><v>ROHIT.B.KAMATH .</v></cell><cell r="D83" t="str"><v>Territory Sales Executive</v></cell><cell r="E83"><v>12600</v></cell><cell r="F83"><v>6300</v></cell><cell r="G83"><v>2100</v></cell></row><row r="83"><cell r="I83"><v>21000</v></cell><cell r="J83"><v>12600</v></cell><cell r="K83"><v>6300</v></cell><cell r="L83"><v>2100</v></cell></row><row r="83"><cell r="N83"><v>29</v></cell></row><row r="83"><cell r="P83"><v>1</v></cell></row><row r="83"><cell r="R83"><v>21000</v></cell></row><row r="84"><cell r="B84"><v>5007</v></cell><cell r="C84" t="str"><v>HARIKRISHNAN.D .</v></cell><cell r="D84" t="str"><v>Assistant</v></cell><cell r="E84"><v>6000</v></cell><cell r="F84"><v>3000</v></cell><cell r="G84"><v>1000</v></cell></row><row r="84"><cell r="I84"><v>10000</v></cell><cell r="J84"><v>1600</v></cell><cell r="K84"><v>800</v></cell><cell r="L84"><v>266.67</v></cell></row><row r="84"><cell r="N84"><v>8</v></cell></row><row r="84"><cell r="R84"><v>2666.67</v></cell></row></sheetData><sheetData sheetId="2"></sheetData></sheetDataSet></externalBook></externalLink>
</file>

<file path=xl/externalLinks/externalLink7.xml><?xml version="1.0" encoding="UTF-8" standalone="yes"?>
<externalLink xmlns="http://schemas.openxmlformats.org/spreadsheetml/2006/main"><externalBook xmlns:r="http://schemas.openxmlformats.org/officeDocument/2006/relationships" r:id="rId1"><sheetNames><sheetName val="Mumbai-Apr&apos;18"/></sheetNames><sheetDataSet><sheetData sheetId="0"><row r="5"><cell r="B5"><v>3823</v></cell><cell r="C5" t="str"><v> MANEESH PANDEY .</v></cell><cell r="D5" t="str"><v>Jr.Executive-Logistics</v></cell><cell r="E5"><v>14586</v></cell><cell r="F5"><v>7293</v></cell><cell r="G5"><v>2431</v></cell><cell r="H5"><v>24310</v></cell><cell r="I5"><v>14586</v></cell><cell r="J5"><v>7293</v></cell><cell r="K5"><v>2431</v></cell><cell r="L5"><v>30</v></cell><cell r="M5"><v>24310</v></cell></row><row r="6"><cell r="B6"><v>3843</v></cell><cell r="C6" t="str"><v>VISHWANATH NIKAM .</v></cell><cell r="D6" t="str"><v>Area Sales Manager</v></cell><cell r="E6"><v>28110</v></cell><cell r="F6"><v>14055</v></cell><cell r="G6"><v>4685</v></cell><cell r="H6"><v>46850</v></cell><cell r="I6"><v>28110</v></cell><cell r="J6"><v>14055</v></cell><cell r="K6"><v>4685</v></cell><cell r="L6"><v>30</v></cell><cell r="M6"><v>46850</v></cell></row><row r="7"><cell r="B7"><v>3844</v></cell><cell r="C7" t="str"><v>PRAVIN KHANDARE .</v></cell><cell r="D7" t="str"><v>Territory Sales Executive</v></cell><cell r="E7"><v>13188</v></cell><cell r="F7"><v>6594</v></cell><cell r="G7"><v>2198</v></cell><cell r="H7"><v>21980</v></cell><cell r="I7"><v>13188</v></cell><cell r="J7"><v>6594</v></cell><cell r="K7"><v>2198</v></cell><cell r="L7"><v>30</v></cell><cell r="M7"><v>21980</v></cell></row><row r="8"><cell r="B8"><v>3845</v></cell><cell r="C8" t="str"><v> MUJEEB SALIM KHAN .</v></cell><cell r="D8" t="str"><v>Territory Sales Executive</v></cell><cell r="E8"><v>16074</v></cell><cell r="F8"><v>8037</v></cell><cell r="G8"><v>2679</v></cell><cell r="H8"><v>26790</v></cell><cell r="I8"><v>16074</v></cell><cell r="J8"><v>8037</v></cell><cell r="K8"><v>2679</v></cell><cell r="L8"><v>30</v></cell><cell r="M8"><v>26790</v></cell></row><row r="9"><cell r="B9"><v>3853</v></cell><cell r="C9" t="str"><v>PANKAJ SINGH .</v></cell><cell r="D9" t="str"><v>RSM - WEST</v></cell><cell r="E9"><v>78000</v></cell><cell r="F9"><v>39000</v></cell><cell r="G9"><v>13000</v></cell><cell r="H9"><v>130000</v></cell><cell r="I9"><v>78000</v></cell><cell r="J9"><v>39000</v></cell><cell r="K9"><v>13000</v></cell><cell r="L9"><v>30</v></cell><cell r="M9"><v>130000</v></cell></row><row r="10"><cell r="B10"><v>3856</v></cell><cell r="C10" t="str"><v>Santosh Mankumbhar .</v></cell><cell r="D10" t="str"><v>Territory Sales Executive</v></cell><cell r="E10"><v>13746</v></cell><cell r="F10"><v>6873</v></cell><cell r="G10"><v>2291</v></cell><cell r="H10"><v>22910</v></cell><cell r="I10"><v>13746</v></cell><cell r="J10"><v>6873</v></cell><cell r="K10"><v>2291</v></cell><cell r="L10"><v>30</v></cell><cell r="M10"><v>22910</v></cell></row><row r="11"><cell r="B11"><v>3858</v></cell><cell r="C11" t="str"><v>SAVITHA Y. S. .</v></cell><cell r="D11" t="str"><v>Manager - R & D</v></cell><cell r="E11"><v>33930</v></cell><cell r="F11"><v>16965</v></cell><cell r="G11"><v>5655</v></cell><cell r="H11"><v>56550</v></cell><cell r="I11"><v>33930</v></cell><cell r="J11"><v>16965</v></cell><cell r="K11"><v>5655</v></cell><cell r="L11"><v>30</v></cell><cell r="M11"><v>56550</v></cell></row><row r="12"><cell r="B12"><v>3862</v></cell><cell r="C12" t="str"><v>SOUMYA.M .</v></cell><cell r="D12" t="str"><v>Executive R & D</v></cell><cell r="E12"><v>12354</v></cell><cell r="F12"><v>6177</v></cell><cell r="G12"><v>2059</v></cell><cell r="H12"><v>20590</v></cell><cell r="I12"><v>12354</v></cell><cell r="J12"><v>6177</v></cell><cell r="K12"><v>2059</v></cell><cell r="L12"><v>30</v></cell><cell r="M12"><v>20590</v></cell></row><row r="13"><cell r="B13"><v>3889</v></cell><cell r="C13" t="str"><v>SANDIP.P.PATIL .</v></cell><cell r="D13" t="str"><v>T.S.E-Nazik</v></cell><cell r="E13"><v>11118</v></cell><cell r="F13"><v>5559</v></cell><cell r="G13"><v>1853</v></cell><cell r="H13"><v>18530</v></cell><cell r="I13"><v>11118</v></cell><cell r="J13"><v>5559</v></cell><cell r="K13"><v>1853</v></cell><cell r="L13"><v>30</v></cell><cell r="M13"><v>18530</v></cell></row><row r="14"><cell r="B14"><v>3945</v></cell><cell r="C14" t="str"><v>DHARMESH NAI .</v></cell><cell r="D14" t="str"><v>Territory Sales Executive</v></cell><cell r="E14"><v>12756</v></cell><cell r="F14"><v>6378</v></cell><cell r="G14"><v>2126</v></cell><cell r="H14"><v>21260</v></cell><cell r="I14"><v>12756</v></cell><cell r="J14"><v>6378</v></cell><cell r="K14"><v>2126</v></cell><cell r="L14"><v>30</v></cell><cell r="M14"><v>21260</v></cell></row><row r="15"><cell r="B15"><v>4046</v></cell><cell r="C15" t="str"><v>SANJAY GOVINDRAUT .</v></cell><cell r="D15" t="str"><v>Area Sales Manager</v></cell><cell r="E15"><v>25200</v></cell><cell r="F15"><v>12600</v></cell><cell r="G15"><v>4200</v></cell><cell r="H15"><v>42000</v></cell><cell r="I15"><v>25200</v></cell><cell r="J15"><v>12600</v></cell><cell r="K15"><v>4200</v></cell><cell r="L15"><v>30</v></cell><cell r="M15"><v>42000</v></cell></row><row r="16"><cell r="B16"><v>4083</v></cell><cell r="C16" t="str"><v>SUSHANT MANDREKAR .</v></cell><cell r="D16" t="str"><v>Sr.Territory Sales Execut</v></cell><cell r="E16"><v>16200</v></cell><cell r="F16"><v>8100</v></cell><cell r="G16"><v>2700</v></cell><cell r="H16"><v>27000</v></cell><cell r="I16"><v>16200</v></cell><cell r="J16"><v>8100</v></cell><cell r="K16"><v>2700</v></cell><cell r="L16"><v>30</v></cell><cell r="M16"><v>27000</v></cell></row><row r="17"><cell r="B17"><v>4084</v></cell><cell r="C17" t="str"><v>PRASANNA GAIKWAD .</v></cell><cell r="D17" t="str"><v>Area Sales Manager</v></cell><cell r="E17"><v>31800</v></cell><cell r="F17"><v>15900</v></cell><cell r="G17"><v>5300</v></cell><cell r="H17"><v>53000</v></cell><cell r="I17"><v>31800</v></cell><cell r="J17"><v>15900</v></cell><cell r="K17"><v>5300</v></cell><cell r="L17"><v>30</v></cell><cell r="M17"><v>53000</v></cell></row><row r="18"><cell r="B18"><v>4086</v></cell><cell r="C18" t="str"><v>DHANRAJ BHANUDAS NAGAR GOJE .</v></cell><cell r="D18" t="str"><v>Exe.Food Safety & Quality</v></cell><cell r="E18"><v>12900</v></cell><cell r="F18"><v>6450</v></cell><cell r="G18"><v>2150</v></cell><cell r="H18"><v>21500</v></cell><cell r="I18"><v>12900</v></cell><cell r="J18"><v>6450</v></cell><cell r="K18"><v>2150</v></cell><cell r="L18"><v>30</v></cell><cell r="M18"><v>21500</v></cell></row><row r="19"><cell r="B19"><v>4095</v></cell><cell r="C19" t="str"><v>MOHAMMAD SHAKIR ANSARI .</v></cell><cell r="D19" t="str"><v>Sr.Territory Sales Execut</v></cell><cell r="E19"><v>15000</v></cell><cell r="F19"><v>7500</v></cell><cell r="G19"><v>2500</v></cell><cell r="H19"><v>25000</v></cell><cell r="I19"><v>15000</v></cell><cell r="J19"><v>7500</v></cell><cell r="K19"><v>2500</v></cell><cell r="L19"><v>30</v></cell><cell r="M19"><v>25000</v></cell></row><row r="20"><cell r="B20"><v>4132</v></cell><cell r="C20" t="str"><v>SUJITH MILAN.G .</v></cell><cell r="D20" t="str"><v>Exe.Food Safety & Quality</v></cell><cell r="E20"><v>13200</v></cell><cell r="F20"><v>6600</v></cell><cell r="G20"><v>2200</v></cell><cell r="H20"><v>22000</v></cell><cell r="I20"><v>13200</v></cell><cell r="J20"><v>6600</v></cell><cell r="K20"><v>2200</v></cell><cell r="L20"><v>30</v></cell><cell r="M20"><v>22000</v></cell></row><row r="21"><cell r="B21"><v>4178</v></cell><cell r="C21" t="str"><v>PARIKH NAYAN KUMAR NAVINCHANDRA .</v></cell><cell r="D21" t="str"><v>Territory Sales Executive</v></cell><cell r="E21"><v>13320</v></cell><cell r="F21"><v>6660</v></cell><cell r="G21"><v>2220</v></cell><cell r="H21"><v>22200</v></cell><cell r="I21"><v>13320</v></cell><cell r="J21"><v>6660</v></cell><cell r="K21"><v>2220</v></cell><cell r="L21"><v>30</v></cell><cell r="M21"><v>22200</v></cell></row><row r="22"><cell r="B22"><v>4235</v></cell><cell r="C22" t="str"><v>SUNIL.R.SINGH .</v></cell><cell r="D22" t="str"><v>Van Sales Representative</v></cell><cell r="E22"><v>9720</v></cell><cell r="F22"><v>4860</v></cell><cell r="G22"><v>1620</v></cell><cell r="H22"><v>16200</v></cell><cell r="I22"><v>9720</v></cell><cell r="J22"><v>4860</v></cell><cell r="K22"><v>1620</v></cell><cell r="L22"><v>30</v></cell><cell r="M22"><v>16200</v></cell></row><row r="23"><cell r="B23"><v>4412</v></cell><cell r="C23" t="str"><v>MAHENDRA DATTARAM MHATRE .</v></cell><cell r="D23" t="str"><v>Territory Sales Executive</v></cell><cell r="E23"><v>13200</v></cell><cell r="F23"><v>6600</v></cell><cell r="G23"><v>2200</v></cell><cell r="H23"><v>22000</v></cell><cell r="I23"><v>13200</v></cell><cell r="J23"><v>6600</v></cell><cell r="K23"><v>2200</v></cell><cell r="L23"><v>30</v></cell><cell r="M23"><v>22000</v></cell></row><row r="24"><cell r="B24"><v>4432</v></cell><cell r="C24" t="str"><v>RAJKUMAR RAMCHANDRA KHEDEKAR .</v></cell><cell r="D24" t="str"><v>Territory Sales Executive</v></cell><cell r="E24"><v>13800</v></cell><cell r="F24"><v>6900</v></cell><cell r="G24"><v>2300</v></cell><cell r="H24"><v>23000</v></cell><cell r="I24"><v>13800</v></cell><cell r="J24"><v>6900</v></cell><cell r="K24"><v>2300</v></cell><cell r="L24"><v>30</v></cell><cell r="M24"><v>23000</v></cell></row><row r="25"><cell r="B25"><v>4487</v></cell><cell r="C25" t="str"><v>Ankit Shashi Kant Mishra .</v></cell><cell r="D25" t="str"><v>Territory Sales Executive</v></cell><cell r="E25"><v>12000</v></cell><cell r="F25"><v>6000</v></cell><cell r="G25"><v>2000</v></cell><cell r="H25"><v>20000</v></cell><cell r="I25"><v>12000</v></cell><cell r="J25"><v>6000</v></cell><cell r="K25"><v>2000</v></cell><cell r="L25"><v>30</v></cell><cell r="M25"><v>20000</v></cell></row><row r="26"><cell r="B26"><v>4540</v></cell><cell r="C26" t="str"><v>SONALI.V.SONAVANE .</v></cell><cell r="D26" t="str"><v>Merchandiser</v></cell><cell r="E26"><v>8400</v></cell><cell r="F26"><v>4200</v></cell><cell r="G26"><v>1400</v></cell><cell r="H26"><v>14000</v></cell><cell r="I26"><v>8400</v></cell><cell r="J26"><v>4200</v></cell><cell r="K26"><v>1400</v></cell><cell r="L26"><v>30</v></cell><cell r="M26"><v>14000</v></cell></row></sheetData></sheetDataSet></externalBook>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asty Toast-Apr'18"/>
    </sheetNames>
    <sheetDataSet>
      <sheetData sheetId="0">
        <row r="5">
          <cell r="B5">
            <v>462</v>
          </cell>
          <cell r="C5" t="str">
            <v>SURESH P.N</v>
          </cell>
          <cell r="D5" t="str">
            <v>Sr.Supervisor Production</v>
          </cell>
          <cell r="E5">
            <v>13853</v>
          </cell>
          <cell r="F5">
            <v>5937</v>
          </cell>
        </row>
        <row r="5">
          <cell r="H5">
            <v>19790</v>
          </cell>
        </row>
        <row r="5">
          <cell r="J5">
            <v>13853</v>
          </cell>
          <cell r="K5">
            <v>5937</v>
          </cell>
        </row>
        <row r="5">
          <cell r="N5">
            <v>19790</v>
          </cell>
        </row>
        <row r="6">
          <cell r="B6">
            <v>525</v>
          </cell>
          <cell r="C6" t="str">
            <v>MANOJ KUMAR E.R</v>
          </cell>
          <cell r="D6" t="str">
            <v>DEPUTY MANAGER - MAINTENA</v>
          </cell>
          <cell r="E6">
            <v>34433</v>
          </cell>
          <cell r="F6">
            <v>14757</v>
          </cell>
        </row>
        <row r="6">
          <cell r="H6">
            <v>49190</v>
          </cell>
        </row>
        <row r="6">
          <cell r="J6">
            <v>34433</v>
          </cell>
          <cell r="K6">
            <v>14757</v>
          </cell>
        </row>
        <row r="6">
          <cell r="N6">
            <v>49190</v>
          </cell>
        </row>
        <row r="7">
          <cell r="B7">
            <v>529</v>
          </cell>
          <cell r="C7" t="str">
            <v>SANTHOSH KUMAR NAIR</v>
          </cell>
          <cell r="D7" t="str">
            <v>Sr.Executive Despatch</v>
          </cell>
          <cell r="E7">
            <v>16751</v>
          </cell>
          <cell r="F7">
            <v>7179</v>
          </cell>
        </row>
        <row r="7">
          <cell r="H7">
            <v>23930</v>
          </cell>
        </row>
        <row r="7">
          <cell r="J7">
            <v>16751</v>
          </cell>
          <cell r="K7">
            <v>7179</v>
          </cell>
        </row>
        <row r="7">
          <cell r="N7">
            <v>23930</v>
          </cell>
        </row>
        <row r="8">
          <cell r="B8">
            <v>533</v>
          </cell>
          <cell r="C8" t="str">
            <v>VIJAYA PREM</v>
          </cell>
          <cell r="D8" t="str">
            <v>Dy.Manager Finance</v>
          </cell>
          <cell r="E8">
            <v>26369</v>
          </cell>
          <cell r="F8">
            <v>11301</v>
          </cell>
        </row>
        <row r="8">
          <cell r="H8">
            <v>37670</v>
          </cell>
        </row>
        <row r="8">
          <cell r="J8">
            <v>26369</v>
          </cell>
          <cell r="K8">
            <v>11301</v>
          </cell>
        </row>
        <row r="8">
          <cell r="N8">
            <v>37670</v>
          </cell>
        </row>
        <row r="9">
          <cell r="B9">
            <v>534</v>
          </cell>
          <cell r="C9" t="str">
            <v>BINU P.T</v>
          </cell>
          <cell r="D9" t="str">
            <v>Exe.Sales accounts</v>
          </cell>
          <cell r="E9">
            <v>17262</v>
          </cell>
          <cell r="F9">
            <v>7398</v>
          </cell>
        </row>
        <row r="9">
          <cell r="H9">
            <v>24660</v>
          </cell>
        </row>
        <row r="9">
          <cell r="J9">
            <v>17262</v>
          </cell>
          <cell r="K9">
            <v>7398</v>
          </cell>
        </row>
        <row r="9">
          <cell r="N9">
            <v>24660</v>
          </cell>
        </row>
        <row r="10">
          <cell r="B10">
            <v>536</v>
          </cell>
          <cell r="C10" t="str">
            <v>SHYJI T.V</v>
          </cell>
          <cell r="D10" t="str">
            <v>Executive - Accounts</v>
          </cell>
          <cell r="E10">
            <v>13832</v>
          </cell>
          <cell r="F10">
            <v>5928</v>
          </cell>
        </row>
        <row r="10">
          <cell r="H10">
            <v>19760</v>
          </cell>
        </row>
        <row r="10">
          <cell r="J10">
            <v>13832</v>
          </cell>
          <cell r="K10">
            <v>5928</v>
          </cell>
        </row>
        <row r="10">
          <cell r="N10">
            <v>19760</v>
          </cell>
        </row>
        <row r="11">
          <cell r="B11">
            <v>538</v>
          </cell>
          <cell r="C11" t="str">
            <v>AMBILY K.A</v>
          </cell>
          <cell r="D11" t="str">
            <v>Jr.Executive Accounts</v>
          </cell>
          <cell r="E11">
            <v>13909</v>
          </cell>
          <cell r="F11">
            <v>5961</v>
          </cell>
        </row>
        <row r="11">
          <cell r="H11">
            <v>19870</v>
          </cell>
        </row>
        <row r="11">
          <cell r="J11">
            <v>13909</v>
          </cell>
          <cell r="K11">
            <v>5961</v>
          </cell>
        </row>
        <row r="11">
          <cell r="N11">
            <v>19870</v>
          </cell>
        </row>
        <row r="12">
          <cell r="B12">
            <v>638</v>
          </cell>
          <cell r="C12" t="str">
            <v>JOBY C.JAMES</v>
          </cell>
          <cell r="D12" t="str">
            <v>Sr.Supervisor-Maintenance</v>
          </cell>
          <cell r="E12">
            <v>14994</v>
          </cell>
          <cell r="F12">
            <v>6426</v>
          </cell>
        </row>
        <row r="12">
          <cell r="H12">
            <v>21420</v>
          </cell>
        </row>
        <row r="12">
          <cell r="J12">
            <v>14994</v>
          </cell>
          <cell r="K12">
            <v>6426</v>
          </cell>
        </row>
        <row r="12">
          <cell r="N12">
            <v>21420</v>
          </cell>
        </row>
        <row r="13">
          <cell r="B13">
            <v>837</v>
          </cell>
          <cell r="C13" t="str">
            <v>KRISHNA   KUMAR E</v>
          </cell>
          <cell r="D13" t="str">
            <v>EXECUTIVE - PRODUCTION</v>
          </cell>
          <cell r="E13">
            <v>18144</v>
          </cell>
          <cell r="F13">
            <v>7776</v>
          </cell>
        </row>
        <row r="13">
          <cell r="H13">
            <v>25920</v>
          </cell>
        </row>
        <row r="13">
          <cell r="J13">
            <v>18144</v>
          </cell>
          <cell r="K13">
            <v>7776</v>
          </cell>
        </row>
        <row r="13">
          <cell r="N13">
            <v>25920</v>
          </cell>
        </row>
        <row r="14">
          <cell r="B14">
            <v>840</v>
          </cell>
          <cell r="C14" t="str">
            <v>SAJU P</v>
          </cell>
          <cell r="D14" t="str">
            <v>Jr.Executive QA</v>
          </cell>
          <cell r="E14">
            <v>14343</v>
          </cell>
          <cell r="F14">
            <v>6147</v>
          </cell>
        </row>
        <row r="14">
          <cell r="H14">
            <v>20490</v>
          </cell>
        </row>
        <row r="14">
          <cell r="J14">
            <v>14343</v>
          </cell>
          <cell r="K14">
            <v>6147</v>
          </cell>
        </row>
        <row r="14">
          <cell r="N14">
            <v>20490</v>
          </cell>
        </row>
        <row r="15">
          <cell r="B15">
            <v>903</v>
          </cell>
          <cell r="C15" t="str">
            <v>KRISHNA PRABHA C.G</v>
          </cell>
          <cell r="D15" t="str">
            <v>ASSISTANT MANAGER - FINAN</v>
          </cell>
          <cell r="E15">
            <v>19838</v>
          </cell>
          <cell r="F15">
            <v>8502</v>
          </cell>
        </row>
        <row r="15">
          <cell r="H15">
            <v>28340</v>
          </cell>
        </row>
        <row r="15">
          <cell r="J15">
            <v>19838</v>
          </cell>
          <cell r="K15">
            <v>8502</v>
          </cell>
        </row>
        <row r="15">
          <cell r="N15">
            <v>28340</v>
          </cell>
        </row>
        <row r="16">
          <cell r="B16">
            <v>904</v>
          </cell>
          <cell r="C16" t="str">
            <v>SUNIL KUMAR K.</v>
          </cell>
          <cell r="D16" t="str">
            <v>TERRITORY SALES MANAGER</v>
          </cell>
          <cell r="E16">
            <v>18893</v>
          </cell>
          <cell r="F16">
            <v>8097</v>
          </cell>
        </row>
        <row r="16">
          <cell r="H16">
            <v>26990</v>
          </cell>
        </row>
        <row r="16">
          <cell r="J16">
            <v>18893</v>
          </cell>
          <cell r="K16">
            <v>8097</v>
          </cell>
        </row>
        <row r="16">
          <cell r="N16">
            <v>26990</v>
          </cell>
        </row>
        <row r="17">
          <cell r="B17">
            <v>928</v>
          </cell>
          <cell r="C17" t="str">
            <v>SANTHOSH V</v>
          </cell>
          <cell r="D17" t="str">
            <v>Sr.Supervisor Production</v>
          </cell>
          <cell r="E17">
            <v>15925</v>
          </cell>
          <cell r="F17">
            <v>6825</v>
          </cell>
        </row>
        <row r="17">
          <cell r="H17">
            <v>22750</v>
          </cell>
        </row>
        <row r="17">
          <cell r="J17">
            <v>15925</v>
          </cell>
          <cell r="K17">
            <v>6825</v>
          </cell>
        </row>
        <row r="17">
          <cell r="N17">
            <v>22750</v>
          </cell>
        </row>
        <row r="18">
          <cell r="B18">
            <v>929</v>
          </cell>
          <cell r="C18" t="str">
            <v>SAMEER N.K</v>
          </cell>
          <cell r="D18" t="str">
            <v>MANAGER-PRODUCTION</v>
          </cell>
          <cell r="E18">
            <v>37716</v>
          </cell>
          <cell r="F18">
            <v>16164</v>
          </cell>
          <cell r="G18">
            <v>4900</v>
          </cell>
          <cell r="H18">
            <v>58780</v>
          </cell>
        </row>
        <row r="18">
          <cell r="J18">
            <v>37716</v>
          </cell>
          <cell r="K18">
            <v>16164</v>
          </cell>
          <cell r="L18">
            <v>4900</v>
          </cell>
        </row>
        <row r="18">
          <cell r="N18">
            <v>58780</v>
          </cell>
        </row>
        <row r="19">
          <cell r="B19">
            <v>1098</v>
          </cell>
          <cell r="C19" t="str">
            <v>LISHA JOSE</v>
          </cell>
          <cell r="D19" t="str">
            <v>Assistant CRM</v>
          </cell>
          <cell r="E19">
            <v>11445</v>
          </cell>
          <cell r="F19">
            <v>4905</v>
          </cell>
        </row>
        <row r="19">
          <cell r="H19">
            <v>16350</v>
          </cell>
        </row>
        <row r="19">
          <cell r="J19">
            <v>11445</v>
          </cell>
          <cell r="K19">
            <v>4905</v>
          </cell>
        </row>
        <row r="19">
          <cell r="N19">
            <v>16350</v>
          </cell>
        </row>
        <row r="20">
          <cell r="B20">
            <v>1193</v>
          </cell>
          <cell r="C20" t="str">
            <v>Anand Sadanandan K</v>
          </cell>
          <cell r="D20" t="str">
            <v>Deputy Manager - Hr/Admin</v>
          </cell>
          <cell r="E20">
            <v>31304</v>
          </cell>
          <cell r="F20">
            <v>13416</v>
          </cell>
        </row>
        <row r="20">
          <cell r="H20">
            <v>44720</v>
          </cell>
        </row>
        <row r="20">
          <cell r="J20">
            <v>31304</v>
          </cell>
          <cell r="K20">
            <v>13416</v>
          </cell>
        </row>
        <row r="20">
          <cell r="N20">
            <v>44720</v>
          </cell>
        </row>
        <row r="21">
          <cell r="B21">
            <v>1276</v>
          </cell>
          <cell r="C21" t="str">
            <v>GOPINATHAN K</v>
          </cell>
          <cell r="D21" t="str">
            <v>TERRITORY SALES EXECUTIVE</v>
          </cell>
          <cell r="E21">
            <v>14455</v>
          </cell>
          <cell r="F21">
            <v>6195</v>
          </cell>
        </row>
        <row r="21">
          <cell r="H21">
            <v>20650</v>
          </cell>
        </row>
        <row r="21">
          <cell r="J21">
            <v>14455</v>
          </cell>
          <cell r="K21">
            <v>6195</v>
          </cell>
        </row>
        <row r="21">
          <cell r="N21">
            <v>20650</v>
          </cell>
        </row>
        <row r="22">
          <cell r="B22">
            <v>1280</v>
          </cell>
          <cell r="C22" t="str">
            <v>SATISH T.K</v>
          </cell>
          <cell r="D22" t="str">
            <v>EXECUTIVE LOGISTICS</v>
          </cell>
          <cell r="E22">
            <v>15918</v>
          </cell>
          <cell r="F22">
            <v>6822</v>
          </cell>
        </row>
        <row r="22">
          <cell r="H22">
            <v>22740</v>
          </cell>
        </row>
        <row r="22">
          <cell r="J22">
            <v>15918</v>
          </cell>
          <cell r="K22">
            <v>6822</v>
          </cell>
        </row>
        <row r="22">
          <cell r="N22">
            <v>22740</v>
          </cell>
        </row>
        <row r="23">
          <cell r="B23">
            <v>1385</v>
          </cell>
          <cell r="C23" t="str">
            <v>SYAMA K.G</v>
          </cell>
          <cell r="D23" t="str">
            <v>Executive-HR</v>
          </cell>
          <cell r="E23">
            <v>13118</v>
          </cell>
          <cell r="F23">
            <v>5622</v>
          </cell>
        </row>
        <row r="23">
          <cell r="H23">
            <v>18740</v>
          </cell>
        </row>
        <row r="23">
          <cell r="J23">
            <v>13118</v>
          </cell>
          <cell r="K23">
            <v>5622</v>
          </cell>
        </row>
        <row r="23">
          <cell r="N23">
            <v>18740</v>
          </cell>
        </row>
        <row r="24">
          <cell r="B24">
            <v>1437</v>
          </cell>
          <cell r="C24" t="str">
            <v>REKHA GANGADHARAN</v>
          </cell>
          <cell r="D24" t="str">
            <v>Senior Executive-Costing</v>
          </cell>
          <cell r="E24">
            <v>14371</v>
          </cell>
          <cell r="F24">
            <v>6159</v>
          </cell>
        </row>
        <row r="24">
          <cell r="H24">
            <v>20530</v>
          </cell>
        </row>
        <row r="24">
          <cell r="J24">
            <v>14371</v>
          </cell>
          <cell r="K24">
            <v>6159</v>
          </cell>
        </row>
        <row r="24">
          <cell r="N24">
            <v>20530</v>
          </cell>
        </row>
        <row r="25">
          <cell r="B25">
            <v>1477</v>
          </cell>
          <cell r="C25" t="str">
            <v>SREEJITH SATHISH</v>
          </cell>
          <cell r="D25" t="str">
            <v>GRAPHIC DESIGNER</v>
          </cell>
          <cell r="E25">
            <v>20720</v>
          </cell>
          <cell r="F25">
            <v>8880</v>
          </cell>
        </row>
        <row r="25">
          <cell r="H25">
            <v>29600</v>
          </cell>
        </row>
        <row r="25">
          <cell r="J25">
            <v>20720</v>
          </cell>
          <cell r="K25">
            <v>8880</v>
          </cell>
        </row>
        <row r="25">
          <cell r="N25">
            <v>29600</v>
          </cell>
        </row>
        <row r="26">
          <cell r="B26">
            <v>1526</v>
          </cell>
          <cell r="C26" t="str">
            <v>SUNIL KUMAR N.P</v>
          </cell>
          <cell r="D26" t="str">
            <v>Merchandiser</v>
          </cell>
          <cell r="E26">
            <v>15281</v>
          </cell>
          <cell r="F26">
            <v>6549</v>
          </cell>
        </row>
        <row r="26">
          <cell r="H26">
            <v>21830</v>
          </cell>
        </row>
        <row r="26">
          <cell r="J26">
            <v>15281</v>
          </cell>
          <cell r="K26">
            <v>6549</v>
          </cell>
        </row>
        <row r="26">
          <cell r="N26">
            <v>21830</v>
          </cell>
        </row>
        <row r="27">
          <cell r="B27">
            <v>1528</v>
          </cell>
          <cell r="C27" t="str">
            <v>SAROOP M.K</v>
          </cell>
          <cell r="D27" t="str">
            <v>ASSISTANT - STORES</v>
          </cell>
          <cell r="E27">
            <v>10423</v>
          </cell>
          <cell r="F27">
            <v>4467</v>
          </cell>
        </row>
        <row r="27">
          <cell r="H27">
            <v>14890</v>
          </cell>
        </row>
        <row r="27">
          <cell r="J27">
            <v>10423</v>
          </cell>
          <cell r="K27">
            <v>4467</v>
          </cell>
        </row>
        <row r="27">
          <cell r="N27">
            <v>14890</v>
          </cell>
        </row>
        <row r="28">
          <cell r="B28">
            <v>1546</v>
          </cell>
          <cell r="C28" t="str">
            <v>SUDHEER BABU</v>
          </cell>
          <cell r="D28" t="str">
            <v>TERRITORY SALES EXECUTIVE</v>
          </cell>
          <cell r="E28">
            <v>14826</v>
          </cell>
          <cell r="F28">
            <v>6354</v>
          </cell>
        </row>
        <row r="28">
          <cell r="H28">
            <v>21180</v>
          </cell>
        </row>
        <row r="28">
          <cell r="J28">
            <v>14826</v>
          </cell>
          <cell r="K28">
            <v>6354</v>
          </cell>
        </row>
        <row r="28">
          <cell r="N28">
            <v>21180</v>
          </cell>
        </row>
        <row r="29">
          <cell r="B29">
            <v>1808</v>
          </cell>
          <cell r="C29" t="str">
            <v>SHIJI MANIKANDAN</v>
          </cell>
          <cell r="D29" t="str">
            <v>Jr.Executive-Materials</v>
          </cell>
          <cell r="E29">
            <v>14007</v>
          </cell>
          <cell r="F29">
            <v>6003</v>
          </cell>
        </row>
        <row r="29">
          <cell r="H29">
            <v>20010</v>
          </cell>
        </row>
        <row r="29">
          <cell r="J29">
            <v>14007</v>
          </cell>
          <cell r="K29">
            <v>6003</v>
          </cell>
        </row>
        <row r="29">
          <cell r="N29">
            <v>20010</v>
          </cell>
        </row>
        <row r="30">
          <cell r="B30">
            <v>2006</v>
          </cell>
          <cell r="C30" t="str">
            <v>RAJEEV V.S</v>
          </cell>
          <cell r="D30" t="str">
            <v>SUPERVISOR PRODUCTION</v>
          </cell>
          <cell r="E30">
            <v>16037</v>
          </cell>
          <cell r="F30">
            <v>6873</v>
          </cell>
        </row>
        <row r="30">
          <cell r="H30">
            <v>22910</v>
          </cell>
        </row>
        <row r="30">
          <cell r="J30">
            <v>16037</v>
          </cell>
          <cell r="K30">
            <v>6873</v>
          </cell>
        </row>
        <row r="30">
          <cell r="N30">
            <v>22910</v>
          </cell>
        </row>
        <row r="31">
          <cell r="B31">
            <v>2204</v>
          </cell>
          <cell r="C31" t="str">
            <v>SASIDHARAN K.M</v>
          </cell>
          <cell r="D31" t="str">
            <v>TERRITORY SALES EXECUTIVE</v>
          </cell>
          <cell r="E31">
            <v>10150</v>
          </cell>
          <cell r="F31">
            <v>4350</v>
          </cell>
        </row>
        <row r="31">
          <cell r="H31">
            <v>14500</v>
          </cell>
        </row>
        <row r="31">
          <cell r="J31">
            <v>10150</v>
          </cell>
          <cell r="K31">
            <v>4350</v>
          </cell>
        </row>
        <row r="31">
          <cell r="N31">
            <v>14500</v>
          </cell>
        </row>
        <row r="32">
          <cell r="B32">
            <v>2205</v>
          </cell>
          <cell r="C32" t="str">
            <v>BALACHANDER N</v>
          </cell>
          <cell r="D32" t="str">
            <v>Regional Manager</v>
          </cell>
          <cell r="E32">
            <v>99309</v>
          </cell>
          <cell r="F32">
            <v>42561</v>
          </cell>
        </row>
        <row r="32">
          <cell r="H32">
            <v>141870</v>
          </cell>
          <cell r="I32">
            <v>10000</v>
          </cell>
          <cell r="J32">
            <v>99309</v>
          </cell>
          <cell r="K32">
            <v>42561</v>
          </cell>
        </row>
        <row r="32">
          <cell r="N32">
            <v>141870</v>
          </cell>
        </row>
        <row r="33">
          <cell r="B33">
            <v>2264</v>
          </cell>
          <cell r="C33" t="str">
            <v>VISWANATHAN K.K</v>
          </cell>
          <cell r="D33" t="str">
            <v>LOGISTICS ASSISTANT</v>
          </cell>
          <cell r="E33">
            <v>11445</v>
          </cell>
          <cell r="F33">
            <v>4905</v>
          </cell>
        </row>
        <row r="33">
          <cell r="H33">
            <v>16350</v>
          </cell>
        </row>
        <row r="33">
          <cell r="J33">
            <v>11445</v>
          </cell>
          <cell r="K33">
            <v>4905</v>
          </cell>
        </row>
        <row r="33">
          <cell r="N33">
            <v>16350</v>
          </cell>
        </row>
        <row r="34">
          <cell r="B34">
            <v>2541</v>
          </cell>
          <cell r="C34" t="str">
            <v>VINEETHA M.V</v>
          </cell>
          <cell r="D34" t="str">
            <v>Executive Payments</v>
          </cell>
          <cell r="E34">
            <v>11942</v>
          </cell>
          <cell r="F34">
            <v>5118</v>
          </cell>
        </row>
        <row r="34">
          <cell r="H34">
            <v>17060</v>
          </cell>
        </row>
        <row r="34">
          <cell r="J34">
            <v>11942</v>
          </cell>
          <cell r="K34">
            <v>5118</v>
          </cell>
        </row>
        <row r="34">
          <cell r="N34">
            <v>17060</v>
          </cell>
        </row>
        <row r="35">
          <cell r="B35">
            <v>2591</v>
          </cell>
          <cell r="C35" t="str">
            <v>SREEJITH K</v>
          </cell>
          <cell r="D35" t="str">
            <v>SUPERVISOR PRODUCTION</v>
          </cell>
          <cell r="E35">
            <v>11606</v>
          </cell>
          <cell r="F35">
            <v>4974</v>
          </cell>
        </row>
        <row r="35">
          <cell r="H35">
            <v>16580</v>
          </cell>
        </row>
        <row r="35">
          <cell r="J35">
            <v>11606</v>
          </cell>
          <cell r="K35">
            <v>4974</v>
          </cell>
        </row>
        <row r="35">
          <cell r="N35">
            <v>16580</v>
          </cell>
        </row>
        <row r="36">
          <cell r="B36">
            <v>2685</v>
          </cell>
          <cell r="C36" t="str">
            <v>VINEESH K.R</v>
          </cell>
          <cell r="D36" t="str">
            <v>ASSISTANT - STORES</v>
          </cell>
          <cell r="E36">
            <v>10815</v>
          </cell>
          <cell r="F36">
            <v>4635</v>
          </cell>
        </row>
        <row r="36">
          <cell r="H36">
            <v>15450</v>
          </cell>
        </row>
        <row r="36">
          <cell r="J36">
            <v>10815</v>
          </cell>
          <cell r="K36">
            <v>4635</v>
          </cell>
        </row>
        <row r="36">
          <cell r="N36">
            <v>15450</v>
          </cell>
        </row>
        <row r="37">
          <cell r="B37">
            <v>2688</v>
          </cell>
          <cell r="C37" t="str">
            <v>PRAJEE RAJ C</v>
          </cell>
          <cell r="D37" t="str">
            <v>ASSISTANT - QUALITY ASSUR</v>
          </cell>
          <cell r="E37">
            <v>10150</v>
          </cell>
          <cell r="F37">
            <v>4350</v>
          </cell>
        </row>
        <row r="37">
          <cell r="H37">
            <v>14500</v>
          </cell>
        </row>
        <row r="37">
          <cell r="J37">
            <v>10150</v>
          </cell>
          <cell r="K37">
            <v>4350</v>
          </cell>
        </row>
        <row r="37">
          <cell r="N37">
            <v>14500</v>
          </cell>
        </row>
        <row r="38">
          <cell r="B38">
            <v>3067</v>
          </cell>
          <cell r="C38" t="str">
            <v>DHANEESH DAVIS THERATTIL</v>
          </cell>
          <cell r="D38" t="str">
            <v>ASSISTANT SUPERVISOR - MA</v>
          </cell>
          <cell r="E38">
            <v>11886</v>
          </cell>
          <cell r="F38">
            <v>5094</v>
          </cell>
        </row>
        <row r="38">
          <cell r="H38">
            <v>16980</v>
          </cell>
        </row>
        <row r="38">
          <cell r="J38">
            <v>11886</v>
          </cell>
          <cell r="K38">
            <v>5094</v>
          </cell>
        </row>
        <row r="38">
          <cell r="N38">
            <v>16980</v>
          </cell>
        </row>
        <row r="39">
          <cell r="B39">
            <v>3068</v>
          </cell>
          <cell r="C39" t="str">
            <v>ARUN V</v>
          </cell>
          <cell r="D39" t="str">
            <v>ASSISTANT SUPERVISOR - MA</v>
          </cell>
          <cell r="E39">
            <v>9429</v>
          </cell>
          <cell r="F39">
            <v>4041</v>
          </cell>
        </row>
        <row r="39">
          <cell r="H39">
            <v>13470</v>
          </cell>
        </row>
        <row r="39">
          <cell r="J39">
            <v>9429</v>
          </cell>
          <cell r="K39">
            <v>4041</v>
          </cell>
        </row>
        <row r="39">
          <cell r="N39">
            <v>13470</v>
          </cell>
        </row>
        <row r="40">
          <cell r="B40">
            <v>3131</v>
          </cell>
          <cell r="C40" t="str">
            <v>PRAVEEN KUMAR C</v>
          </cell>
          <cell r="D40" t="str">
            <v>Executive Supervisor-Main</v>
          </cell>
          <cell r="E40">
            <v>17332</v>
          </cell>
          <cell r="F40">
            <v>7428</v>
          </cell>
        </row>
        <row r="40">
          <cell r="H40">
            <v>24760</v>
          </cell>
        </row>
        <row r="40">
          <cell r="J40">
            <v>17332</v>
          </cell>
          <cell r="K40">
            <v>7428</v>
          </cell>
        </row>
        <row r="40">
          <cell r="N40">
            <v>24760</v>
          </cell>
        </row>
        <row r="41">
          <cell r="B41">
            <v>3178</v>
          </cell>
          <cell r="C41" t="str">
            <v>JEEVANJITH A.S</v>
          </cell>
          <cell r="D41" t="str">
            <v>SUPERVISOR PRODUCTION</v>
          </cell>
          <cell r="E41">
            <v>10150</v>
          </cell>
          <cell r="F41">
            <v>4350</v>
          </cell>
        </row>
        <row r="41">
          <cell r="H41">
            <v>14500</v>
          </cell>
        </row>
        <row r="41">
          <cell r="J41">
            <v>10150</v>
          </cell>
          <cell r="K41">
            <v>4350</v>
          </cell>
        </row>
        <row r="41">
          <cell r="N41">
            <v>14500</v>
          </cell>
        </row>
        <row r="42">
          <cell r="B42">
            <v>3210</v>
          </cell>
          <cell r="C42" t="str">
            <v>ANIL A.S</v>
          </cell>
          <cell r="D42" t="str">
            <v>Senior Executive-Projects</v>
          </cell>
          <cell r="E42">
            <v>21917</v>
          </cell>
          <cell r="F42">
            <v>9393</v>
          </cell>
        </row>
        <row r="42">
          <cell r="H42">
            <v>31310</v>
          </cell>
        </row>
        <row r="42">
          <cell r="J42">
            <v>21917</v>
          </cell>
          <cell r="K42">
            <v>9393</v>
          </cell>
        </row>
        <row r="42">
          <cell r="N42">
            <v>31310</v>
          </cell>
        </row>
        <row r="43">
          <cell r="B43">
            <v>3360</v>
          </cell>
          <cell r="C43" t="str">
            <v>HARIKRISHNAN P.S</v>
          </cell>
          <cell r="D43" t="str">
            <v>Admin Assistant</v>
          </cell>
          <cell r="E43">
            <v>7406</v>
          </cell>
          <cell r="F43">
            <v>3174</v>
          </cell>
        </row>
        <row r="43">
          <cell r="H43">
            <v>10580</v>
          </cell>
        </row>
        <row r="43">
          <cell r="J43">
            <v>7406</v>
          </cell>
          <cell r="K43">
            <v>3174</v>
          </cell>
        </row>
        <row r="43">
          <cell r="N43">
            <v>10580</v>
          </cell>
        </row>
        <row r="44">
          <cell r="B44">
            <v>3397</v>
          </cell>
          <cell r="C44" t="str">
            <v>ARUN K.S</v>
          </cell>
          <cell r="D44" t="str">
            <v>ASSISTANT SUPERVISOR - MA</v>
          </cell>
          <cell r="E44">
            <v>9555</v>
          </cell>
          <cell r="F44">
            <v>4095</v>
          </cell>
        </row>
        <row r="44">
          <cell r="H44">
            <v>13650</v>
          </cell>
        </row>
        <row r="44">
          <cell r="J44">
            <v>9555</v>
          </cell>
          <cell r="K44">
            <v>4095</v>
          </cell>
        </row>
        <row r="44">
          <cell r="N44">
            <v>13650</v>
          </cell>
        </row>
        <row r="45">
          <cell r="B45">
            <v>3468</v>
          </cell>
          <cell r="C45" t="str">
            <v>GOPAKUMAR K.V</v>
          </cell>
          <cell r="D45" t="str">
            <v>LOGISTICS ASSISTANT</v>
          </cell>
          <cell r="E45">
            <v>12201</v>
          </cell>
          <cell r="F45">
            <v>5229</v>
          </cell>
        </row>
        <row r="45">
          <cell r="H45">
            <v>17430</v>
          </cell>
        </row>
        <row r="45">
          <cell r="J45">
            <v>12201</v>
          </cell>
          <cell r="K45">
            <v>5229</v>
          </cell>
        </row>
        <row r="45">
          <cell r="N45">
            <v>17430</v>
          </cell>
        </row>
        <row r="46">
          <cell r="B46">
            <v>3490</v>
          </cell>
          <cell r="C46" t="str">
            <v>MUKUNDAN K</v>
          </cell>
          <cell r="D46" t="str">
            <v>Area Sales Manager</v>
          </cell>
          <cell r="E46">
            <v>38080</v>
          </cell>
          <cell r="F46">
            <v>16320</v>
          </cell>
        </row>
        <row r="46">
          <cell r="H46">
            <v>54400</v>
          </cell>
        </row>
        <row r="46">
          <cell r="J46">
            <v>38080</v>
          </cell>
          <cell r="K46">
            <v>16320</v>
          </cell>
        </row>
        <row r="46">
          <cell r="N46">
            <v>54400</v>
          </cell>
        </row>
        <row r="47">
          <cell r="B47">
            <v>3554</v>
          </cell>
          <cell r="C47" t="str">
            <v>JAYAN K</v>
          </cell>
          <cell r="D47" t="str">
            <v>SUPERVISOR - MAINTENENCE</v>
          </cell>
          <cell r="E47">
            <v>14427</v>
          </cell>
          <cell r="F47">
            <v>6183</v>
          </cell>
        </row>
        <row r="47">
          <cell r="H47">
            <v>20610</v>
          </cell>
        </row>
        <row r="47">
          <cell r="J47">
            <v>14427</v>
          </cell>
          <cell r="K47">
            <v>6183</v>
          </cell>
        </row>
        <row r="47">
          <cell r="N47">
            <v>20610</v>
          </cell>
        </row>
        <row r="48">
          <cell r="B48">
            <v>3560</v>
          </cell>
          <cell r="C48" t="str">
            <v>VINU MOHAN</v>
          </cell>
          <cell r="D48" t="str">
            <v>LOGISTICS ASSISTANT</v>
          </cell>
          <cell r="E48">
            <v>10416</v>
          </cell>
          <cell r="F48">
            <v>4464</v>
          </cell>
        </row>
        <row r="48">
          <cell r="H48">
            <v>14880</v>
          </cell>
        </row>
        <row r="49">
          <cell r="B49">
            <v>3589</v>
          </cell>
          <cell r="C49" t="str">
            <v>RAHUL RAMESH</v>
          </cell>
          <cell r="D49" t="str">
            <v>Assistant Manager - purch</v>
          </cell>
          <cell r="E49">
            <v>35042</v>
          </cell>
          <cell r="F49">
            <v>15018</v>
          </cell>
        </row>
        <row r="49">
          <cell r="H49">
            <v>50060</v>
          </cell>
        </row>
        <row r="49">
          <cell r="J49">
            <v>35042</v>
          </cell>
          <cell r="K49">
            <v>15018</v>
          </cell>
        </row>
        <row r="49">
          <cell r="N49">
            <v>50060</v>
          </cell>
        </row>
        <row r="50">
          <cell r="B50">
            <v>3598</v>
          </cell>
          <cell r="C50" t="str">
            <v>VASUDEVAN NAMBOOTHIRI D</v>
          </cell>
          <cell r="D50" t="str">
            <v>Dy.General Manager- Accou</v>
          </cell>
          <cell r="E50">
            <v>70000</v>
          </cell>
          <cell r="F50">
            <v>30000</v>
          </cell>
        </row>
        <row r="50">
          <cell r="H50">
            <v>100000</v>
          </cell>
          <cell r="I50">
            <v>25000</v>
          </cell>
          <cell r="J50">
            <v>70000</v>
          </cell>
          <cell r="K50">
            <v>30000</v>
          </cell>
        </row>
        <row r="50">
          <cell r="N50">
            <v>100000</v>
          </cell>
        </row>
        <row r="51">
          <cell r="B51">
            <v>3616</v>
          </cell>
          <cell r="C51" t="str">
            <v>SANTHOSH E.G</v>
          </cell>
          <cell r="D51" t="str">
            <v>ASSISTANT SUPERVISOR - MA</v>
          </cell>
          <cell r="E51">
            <v>10815</v>
          </cell>
          <cell r="F51">
            <v>4635</v>
          </cell>
        </row>
        <row r="51">
          <cell r="H51">
            <v>15450</v>
          </cell>
        </row>
        <row r="51">
          <cell r="J51">
            <v>10815</v>
          </cell>
          <cell r="K51">
            <v>4635</v>
          </cell>
        </row>
        <row r="51">
          <cell r="N51">
            <v>15450</v>
          </cell>
        </row>
        <row r="52">
          <cell r="B52">
            <v>3757</v>
          </cell>
          <cell r="C52" t="str">
            <v>T.RAVICHANDRAN .</v>
          </cell>
          <cell r="D52" t="str">
            <v>Sr.Manager-Logistics</v>
          </cell>
          <cell r="E52">
            <v>61250</v>
          </cell>
          <cell r="F52">
            <v>26250</v>
          </cell>
        </row>
        <row r="52">
          <cell r="H52">
            <v>87500</v>
          </cell>
        </row>
        <row r="52">
          <cell r="J52">
            <v>61250</v>
          </cell>
          <cell r="K52">
            <v>26250</v>
          </cell>
        </row>
        <row r="52">
          <cell r="N52">
            <v>87500</v>
          </cell>
        </row>
        <row r="53">
          <cell r="B53">
            <v>3758</v>
          </cell>
          <cell r="C53" t="str">
            <v>ROHITH.K.S .</v>
          </cell>
          <cell r="D53" t="str">
            <v>Assistant-Logistics</v>
          </cell>
          <cell r="E53">
            <v>9212</v>
          </cell>
          <cell r="F53">
            <v>3948</v>
          </cell>
        </row>
        <row r="53">
          <cell r="H53">
            <v>13160</v>
          </cell>
        </row>
        <row r="53">
          <cell r="J53">
            <v>9212</v>
          </cell>
          <cell r="K53">
            <v>3948</v>
          </cell>
        </row>
        <row r="53">
          <cell r="N53">
            <v>13160</v>
          </cell>
        </row>
        <row r="54">
          <cell r="B54">
            <v>3759</v>
          </cell>
          <cell r="C54" t="str">
            <v>FASIL.V .</v>
          </cell>
          <cell r="D54" t="str">
            <v>ASSISTANT - INTERNAL AUDI</v>
          </cell>
          <cell r="E54">
            <v>9982</v>
          </cell>
          <cell r="F54">
            <v>4278</v>
          </cell>
        </row>
        <row r="54">
          <cell r="H54">
            <v>14260</v>
          </cell>
        </row>
        <row r="54">
          <cell r="J54">
            <v>9982</v>
          </cell>
          <cell r="K54">
            <v>4278</v>
          </cell>
        </row>
        <row r="54">
          <cell r="N54">
            <v>14260</v>
          </cell>
        </row>
        <row r="55">
          <cell r="B55">
            <v>3760</v>
          </cell>
          <cell r="C55" t="str">
            <v>NIKHIL.M.S .</v>
          </cell>
          <cell r="D55" t="str">
            <v>Assistant-Logistics</v>
          </cell>
          <cell r="E55">
            <v>8015</v>
          </cell>
          <cell r="F55">
            <v>3435</v>
          </cell>
        </row>
        <row r="55">
          <cell r="H55">
            <v>11450</v>
          </cell>
        </row>
        <row r="55">
          <cell r="J55">
            <v>8015</v>
          </cell>
          <cell r="K55">
            <v>3435</v>
          </cell>
        </row>
        <row r="55">
          <cell r="N55">
            <v>11450</v>
          </cell>
        </row>
        <row r="56">
          <cell r="B56">
            <v>3907</v>
          </cell>
          <cell r="C56" t="str">
            <v>SAYOOJ.P.V .</v>
          </cell>
          <cell r="D56" t="str">
            <v>Jr.Executive-Costing</v>
          </cell>
          <cell r="E56">
            <v>15540</v>
          </cell>
          <cell r="F56">
            <v>6660</v>
          </cell>
        </row>
        <row r="56">
          <cell r="H56">
            <v>22200</v>
          </cell>
        </row>
        <row r="56">
          <cell r="J56">
            <v>9842</v>
          </cell>
          <cell r="K56">
            <v>4218</v>
          </cell>
        </row>
        <row r="56">
          <cell r="N56">
            <v>14060</v>
          </cell>
        </row>
        <row r="57">
          <cell r="B57">
            <v>4103</v>
          </cell>
          <cell r="C57" t="str">
            <v>Joby Das .</v>
          </cell>
          <cell r="D57" t="str">
            <v>ASSISTANT SUPERVISOR - MA</v>
          </cell>
          <cell r="E57">
            <v>7000</v>
          </cell>
          <cell r="F57">
            <v>3000</v>
          </cell>
        </row>
        <row r="57">
          <cell r="H57">
            <v>10000</v>
          </cell>
        </row>
        <row r="57">
          <cell r="J57">
            <v>7000</v>
          </cell>
          <cell r="K57">
            <v>3000</v>
          </cell>
        </row>
        <row r="57">
          <cell r="N57">
            <v>10000</v>
          </cell>
        </row>
        <row r="58">
          <cell r="B58">
            <v>4130</v>
          </cell>
          <cell r="C58" t="str">
            <v>RAKESH.K.R .</v>
          </cell>
          <cell r="D58" t="str">
            <v>ASSISTANT - STORES</v>
          </cell>
          <cell r="E58">
            <v>6300</v>
          </cell>
          <cell r="F58">
            <v>2700</v>
          </cell>
        </row>
        <row r="58">
          <cell r="H58">
            <v>9000</v>
          </cell>
        </row>
        <row r="58">
          <cell r="J58">
            <v>6300</v>
          </cell>
          <cell r="K58">
            <v>2700</v>
          </cell>
        </row>
        <row r="58">
          <cell r="N58">
            <v>9000</v>
          </cell>
        </row>
        <row r="59">
          <cell r="B59">
            <v>4168</v>
          </cell>
          <cell r="C59" t="str">
            <v>JITHESH C.V .</v>
          </cell>
          <cell r="D59" t="str">
            <v>TERRITORY SALES EXECUTIVE</v>
          </cell>
          <cell r="E59">
            <v>10500</v>
          </cell>
          <cell r="F59">
            <v>4500</v>
          </cell>
        </row>
        <row r="59">
          <cell r="H59">
            <v>15000</v>
          </cell>
        </row>
        <row r="59">
          <cell r="J59">
            <v>10500</v>
          </cell>
          <cell r="K59">
            <v>4500</v>
          </cell>
        </row>
        <row r="59">
          <cell r="N59">
            <v>15000</v>
          </cell>
        </row>
        <row r="60">
          <cell r="B60">
            <v>4422</v>
          </cell>
          <cell r="C60" t="str">
            <v>ARUN THAMBI .</v>
          </cell>
          <cell r="D60" t="str">
            <v>ASSISTANT SUPERVISOR - MA</v>
          </cell>
          <cell r="E60">
            <v>9450</v>
          </cell>
          <cell r="F60">
            <v>4050</v>
          </cell>
        </row>
        <row r="60">
          <cell r="H60">
            <v>13500</v>
          </cell>
        </row>
        <row r="60">
          <cell r="J60">
            <v>9135</v>
          </cell>
          <cell r="K60">
            <v>3915</v>
          </cell>
        </row>
        <row r="60">
          <cell r="N60">
            <v>13050</v>
          </cell>
        </row>
        <row r="61">
          <cell r="B61">
            <v>4441</v>
          </cell>
          <cell r="C61" t="str">
            <v>FRANCIS MATHEW .</v>
          </cell>
          <cell r="D61" t="str">
            <v>Manager-Human Resources</v>
          </cell>
          <cell r="E61">
            <v>31500</v>
          </cell>
          <cell r="F61">
            <v>13500</v>
          </cell>
        </row>
        <row r="61">
          <cell r="H61">
            <v>45000</v>
          </cell>
        </row>
        <row r="61">
          <cell r="J61">
            <v>31500</v>
          </cell>
          <cell r="K61">
            <v>13500</v>
          </cell>
        </row>
        <row r="61">
          <cell r="N61">
            <v>45000</v>
          </cell>
        </row>
      </sheetData>
    </sheetDataSet>
  </externalBook>
</externalLink>
</file>

<file path=xl/externalLinks/externalLink9.xml><?xml version="1.0" encoding="UTF-8" standalone="yes"?>
<externalLink xmlns="http://schemas.openxmlformats.org/spreadsheetml/2006/main"><externalBook xmlns:r="http://schemas.openxmlformats.org/officeDocument/2006/relationships" r:id="rId1"><sheetNames><sheetName val="Staff"/><sheetName val="TS"/></sheetNames><sheetDataSet><sheetData sheetId="0"><row r="7"><cell r="B7"><v>1</v></cell><cell r="C7" t="str"><v>C.G.PRATHIBASMIDAN .</v></cell><cell r="D7" t="str"><v>Director-Corporate</v></cell><cell r="E7"><v>106092</v></cell><cell r="F7"><v>53046</v></cell><cell r="G7"><v>17682</v></cell><cell r="H7"><v>176820</v></cell><cell r="I7"><v>73180</v></cell><cell r="J7"><v>106092</v></cell><cell r="K7"><v>53046</v></cell><cell r="L7"><v>17682</v></cell></row><row r="7"><cell r="N7"><v>30</v></cell></row><row r="7"><cell r="P7"><v>176820</v></cell></row><row r="8"><cell r="B8"><v>3</v></cell><cell r="C8" t="str"><v>K.B.SHIBU .</v></cell><cell r="D8" t="str"><v>Dy.Manager-Accounts</v></cell><cell r="E8"><v>27366</v></cell><cell r="F8"><v>13683</v></cell><cell r="G8"><v>4561</v></cell><cell r="H8"><v>45610</v></cell></row><row r="8"><cell r="J8"><v>27366</v></cell><cell r="K8"><v>13683</v></cell><cell r="L8"><v>4561</v></cell></row><row r="8"><cell r="N8"><v>30</v></cell></row><row r="8"><cell r="P8"><v>45610</v></cell></row><row r="9"><cell r="B9"><v>4</v></cell><cell r="C9" t="str"><v>T.S.SOMANATHAN .</v></cell><cell r="D9" t="str"><v>Assistant Manager-Stores</v></cell><cell r="E9"><v>26778</v></cell><cell r="F9"><v>13389</v></cell><cell r="G9"><v>4463</v></cell><cell r="H9"><v>44630</v></cell></row><row r="9"><cell r="J9"><v>26778</v></cell><cell r="K9"><v>13389</v></cell><cell r="L9"><v>4463</v></cell></row><row r="9"><cell r="N9"><v>30</v></cell></row><row r="9"><cell r="P9"><v>44630</v></cell></row><row r="10"><cell r="B10"><v>6</v></cell><cell r="C10" t="str"><v>P.P.PRAMEELA .</v></cell><cell r="D10" t="str"><v>Assistant Manager-Systems</v></cell><cell r="E10"><v>23502</v></cell><cell r="F10"><v>11751</v></cell><cell r="G10"><v>3917</v></cell><cell r="H10"><v>39170</v></cell></row><row r="10"><cell r="J10"><v>23502</v></cell><cell r="K10"><v>11751</v></cell><cell r="L10"><v>3917</v></cell></row><row r="10"><cell r="N10"><v>30</v></cell></row><row r="10"><cell r="P10"><v>39170</v></cell></row><row r="11"><cell r="B11"><v>8</v></cell><cell r="C11" t="str"><v>SURESH.P .</v></cell><cell r="D11" t="str"><v>Senior Executive -Account</v></cell><cell r="E11"><v>19482</v></cell><cell r="F11"><v>9741</v></cell><cell r="G11"><v>3247</v></cell><cell r="H11"><v>32470</v></cell></row><row r="11"><cell r="J11"><v>19482</v></cell><cell r="K11"><v>9741</v></cell><cell r="L11"><v>3247</v></cell></row><row r="11"><cell r="N11"><v>30</v></cell></row><row r="11"><cell r="P11"><v>32470</v></cell></row><row r="12"><cell r="B12"><v>9</v></cell><cell r="C12" t="str"><v>A.SHALU .</v></cell><cell r="D12" t="str"><v>T.S.M</v></cell><cell r="E12"><v>27054</v></cell><cell r="F12"><v>13527</v></cell><cell r="G12"><v>4509</v></cell><cell r="H12"><v>45090</v></cell></row><row r="12"><cell r="J12"><v>27054</v></cell><cell r="K12"><v>13527</v></cell><cell r="L12"><v>4509</v></cell></row><row r="12"><cell r="N12"><v>30</v></cell></row><row r="12"><cell r="P12"><v>45090</v></cell></row><row r="13"><cell r="B13"><v>10</v></cell><cell r="C13" t="str"><v>M.SUJITH KUMAR .</v></cell><cell r="D13" t="str"><v>Vertical Head-Milling</v></cell><cell r="E13"><v>64596</v></cell><cell r="F13"><v>32298</v></cell><cell r="G13"><v>10766</v></cell><cell r="H13"><v>107660</v></cell></row><row r="13"><cell r="J13"><v>64596</v></cell><cell r="K13"><v>32298</v></cell><cell r="L13"><v>10766</v></cell></row><row r="13"><cell r="N13"><v>30</v></cell></row><row r="13"><cell r="P13"><v>107660</v></cell></row><row r="14"><cell r="B14"><v>11</v></cell><cell r="C14" t="str"><v>P.RAJEEVAN .</v></cell><cell r="D14" t="str"><v>Senior Executive-CPS</v></cell><cell r="E14"><v>19626</v></cell><cell r="F14"><v>9813</v></cell><cell r="G14"><v>3271</v></cell><cell r="H14"><v>32710</v></cell></row><row r="14"><cell r="J14"><v>19626</v></cell><cell r="K14"><v>9813</v></cell><cell r="L14"><v>3271</v></cell></row><row r="14"><cell r="N14"><v>30</v></cell></row><row r="14"><cell r="P14"><v>32710</v></cell></row><row r="15"><cell r="B15"><v>12</v></cell><cell r="C15" t="str"><v>JAYASREE BABURAJ .</v></cell><cell r="D15" t="str"><v>Assistant Manager-Adminis</v></cell><cell r="E15"><v>21300</v></cell><cell r="F15"><v>10650</v></cell><cell r="G15"><v>3550</v></cell><cell r="H15"><v>35500</v></cell></row><row r="15"><cell r="J15"><v>21300</v></cell><cell r="K15"><v>10650</v></cell><cell r="L15"><v>3550</v></cell></row><row r="15"><cell r="N15"><v>30</v></cell></row><row r="15"><cell r="P15"><v>35500</v></cell></row><row r="16"><cell r="B16"><v>13</v></cell><cell r="C16" t="str"><v>M.MEENAKSHY .</v></cell><cell r="D16" t="str"><v>Asst. Manager-Quality Ass</v></cell><cell r="E16"><v>21330</v></cell><cell r="F16"><v>10665</v></cell><cell r="G16"><v>3555</v></cell><cell r="H16"><v>35550</v></cell></row><row r="16"><cell r="J16"><v>21330</v></cell><cell r="K16"><v>10665</v></cell><cell r="L16"><v>3555</v></cell></row><row r="16"><cell r="N16"><v>30</v></cell></row><row r="16"><cell r="P16"><v>35550</v></cell></row><row r="17"><cell r="B17"><v>15</v></cell><cell r="C17" t="str"><v>K.V.SATHEESH .</v></cell><cell r="D17" t="str"><v>Executive-Logistics</v></cell><cell r="E17"><v>12762</v></cell><cell r="F17"><v>6381</v></cell><cell r="G17"><v>2127</v></cell><cell r="H17"><v>21270</v></cell></row><row r="17"><cell r="J17"><v>12762</v></cell><cell r="K17"><v>6381</v></cell><cell r="L17"><v>2127</v></cell></row><row r="17"><cell r="N17"><v>30</v></cell></row><row r="17"><cell r="P17"><v>21270</v></cell></row><row r="18"><cell r="B18"><v>16</v></cell><cell r="C18" t="str"><v>V.S.HARIDAS .</v></cell><cell r="D18" t="str"><v>FACTORY MANAGER</v></cell><cell r="E18"><v>41724</v></cell><cell r="F18"><v>20862</v></cell><cell r="G18"><v>6954</v></cell><cell r="H18"><v>69540</v></cell></row><row r="18"><cell r="J18"><v>41724</v></cell><cell r="K18"><v>20862</v></cell><cell r="L18"><v>6954</v></cell></row><row r="18"><cell r="N18"><v>30</v></cell></row><row r="18"><cell r="P18"><v>69540</v></cell></row><row r="19"><cell r="B19"><v>17</v></cell><cell r="C19" t="str"><v>P.A.AJITHA .</v></cell><cell r="D19" t="str"><v>MANAGER - ACCOUNTS</v></cell><cell r="E19"><v>32340</v></cell><cell r="F19"><v>16170</v></cell><cell r="G19"><v>5390</v></cell><cell r="H19"><v>53900</v></cell></row><row r="19"><cell r="J19"><v>32340</v></cell><cell r="K19"><v>16170</v></cell><cell r="L19"><v>5390</v></cell></row><row r="19"><cell r="N19"><v>30</v></cell></row><row r="19"><cell r="P19"><v>53900</v></cell></row><row r="20"><cell r="B20"><v>18</v></cell><cell r="C20" t="str"><v>ANITHA RAVINDRAN .</v></cell><cell r="D20" t="str"><v>Senior Executive -Account</v></cell><cell r="E20"><v>17064</v></cell><cell r="F20"><v>8532</v></cell><cell r="G20"><v>2844</v></cell><cell r="H20"><v>28440</v></cell></row><row r="20"><cell r="J20"><v>17064</v></cell><cell r="K20"><v>8532</v></cell><cell r="L20"><v>2844</v></cell></row><row r="20"><cell r="N20"><v>30</v></cell></row><row r="20"><cell r="P20"><v>28440</v></cell></row><row r="21"><cell r="B21"><v>19</v></cell><cell r="C21" t="str"><v>SURESH MENON.V.G .</v></cell><cell r="D21" t="str"><v>Dy.Manager-Maintenance</v></cell><cell r="E21"><v>26802</v></cell><cell r="F21"><v>13401</v></cell><cell r="G21"><v>4467</v></cell><cell r="H21"><v>44670</v></cell></row><row r="21"><cell r="J21"><v>26802</v></cell><cell r="K21"><v>13401</v></cell><cell r="L21"><v>4467</v></cell></row><row r="21"><cell r="N21"><v>30</v></cell></row><row r="21"><cell r="P21"><v>44670</v></cell></row><row r="22"><cell r="B22"><v>20</v></cell><cell r="C22" t="str"><v>RAMESH KUMAR.M .</v></cell><cell r="D22" t="str"><v>Manager - Maintenance</v></cell><cell r="E22"><v>34104</v></cell><cell r="F22"><v>17052</v></cell><cell r="G22"><v>5684</v></cell><cell r="H22"><v>56840</v></cell></row><row r="22"><cell r="J22"><v>34104</v></cell><cell r="K22"><v>17052</v></cell><cell r="L22"><v>5684</v></cell></row><row r="22"><cell r="N22"><v>30</v></cell></row><row r="22"><cell r="P22"><v>56840</v></cell></row><row r="23"><cell r="B23"><v>25</v></cell><cell r="C23" t="str"><v>P.K.BEENA .</v></cell><cell r="D23" t="str"><v>Assistant Manager-Depots</v></cell><cell r="E23"><v>22494</v></cell><cell r="F23"><v>11247</v></cell><cell r="G23"><v>3749</v></cell><cell r="H23"><v>37490</v></cell></row><row r="23"><cell r="J23"><v>22494</v></cell><cell r="K23"><v>11247</v></cell><cell r="L23"><v>3749</v></cell></row><row r="23"><cell r="N23"><v>30</v></cell></row><row r="23"><cell r="P23"><v>37490</v></cell></row><row r="24"><cell r="B24"><v>27</v></cell><cell r="C24" t="str"><v>M.R.RAJESH KUMAR .</v></cell><cell r="D24" t="str"><v>SALES MANAGER-KERALA</v></cell><cell r="E24"><v>39750</v></cell><cell r="F24"><v>19875</v></cell><cell r="G24"><v>6625</v></cell><cell r="H24"><v>66250</v></cell></row><row r="24"><cell r="J24"><v>39750</v></cell><cell r="K24"><v>19875</v></cell><cell r="L24"><v>6625</v></cell></row><row r="24"><cell r="N24"><v>30</v></cell></row><row r="24"><cell r="P24"><v>66250</v></cell></row><row r="25"><cell r="B25"><v>31</v></cell><cell r="C25" t="str"><v>K.JAYA KUMAR .</v></cell><cell r="D25" t="str"><v>AREA SALES MANAGER</v></cell><cell r="E25"><v>26694</v></cell><cell r="F25"><v>13347</v></cell><cell r="G25"><v>4449</v></cell><cell r="H25"><v>44490</v></cell></row><row r="25"><cell r="J25"><v>26694</v></cell><cell r="K25"><v>13347</v></cell><cell r="L25"><v>4449</v></cell></row><row r="25"><cell r="N25"><v>30</v></cell></row><row r="25"><cell r="P25"><v>44490</v></cell></row><row r="26"><cell r="B26"><v>36</v></cell><cell r="C26" t="str"><v>SUNIL.A.V .</v></cell><cell r="D26" t="str"><v>TERRITORY SALES EXECUTIVE</v></cell><cell r="E26"><v>17214</v></cell><cell r="F26"><v>8607</v></cell><cell r="G26"><v>2869</v></cell><cell r="H26"><v>28690</v></cell></row><row r="26"><cell r="J26"><v>17214</v></cell><cell r="K26"><v>8607</v></cell><cell r="L26"><v>2869</v></cell></row><row r="26"><cell r="N26"><v>30</v></cell></row><row r="26"><cell r="P26"><v>28690</v></cell></row><row r="27"><cell r="B27"><v>40</v></cell><cell r="C27" t="str"><v>ABI MALAK .</v></cell><cell r="D27" t="str"><v>Jr.Executive-Stores</v></cell><cell r="E27"><v>10980</v></cell><cell r="F27"><v>5490</v></cell><cell r="G27"><v>1830</v></cell><cell r="H27"><v>18300</v></cell></row><row r="27"><cell r="J27"><v>10980</v></cell><cell r="K27"><v>5490</v></cell><cell r="L27"><v>1830</v></cell></row><row r="27"><cell r="N27"><v>30</v></cell></row><row r="27"><cell r="P27"><v>18300</v></cell></row><row r="28"><cell r="B28"><v>54</v></cell><cell r="C28" t="str"><v>GINI JOSEPH .</v></cell><cell r="D28" t="str"><v>Senior Executive -Account</v></cell><cell r="E28"><v>14610</v></cell><cell r="F28"><v>7305</v></cell><cell r="G28"><v>2435</v></cell><cell r="H28"><v>24350</v></cell></row><row r="28"><cell r="J28"><v>14610</v></cell><cell r="K28"><v>7305</v></cell><cell r="L28"><v>2435</v></cell></row><row r="28"><cell r="N28"><v>30</v></cell></row><row r="28"><cell r="P28"><v>24350</v></cell></row><row r="29"><cell r="B29"><v>55</v></cell><cell r="C29" t="str"><v>SINDHU.K.K .</v></cell><cell r="D29" t="str"><v>SENIOR EXECUTIVE-MATERIAL</v></cell><cell r="E29"><v>16110</v></cell><cell r="F29"><v>8055</v></cell><cell r="G29"><v>2685</v></cell><cell r="H29"><v>26850</v></cell></row><row r="29"><cell r="J29"><v>16110</v></cell><cell r="K29"><v>8055</v></cell><cell r="L29"><v>2685</v></cell></row><row r="29"><cell r="N29"><v>30</v></cell></row><row r="29"><cell r="P29"><v>26850</v></cell></row><row r="30"><cell r="B30"><v>57</v></cell><cell r="C30" t="str"><v>PRADEEP.M.M .</v></cell><cell r="D30" t="str"><v>Jr.Executive-Stores</v></cell><cell r="E30"><v>12012</v></cell><cell r="F30"><v>6006</v></cell><cell r="G30"><v>2002</v></cell><cell r="H30"><v>20020</v></cell></row><row r="30"><cell r="J30"><v>12012</v></cell><cell r="K30"><v>6006</v></cell><cell r="L30"><v>2002</v></cell></row><row r="30"><cell r="N30"><v>30</v></cell></row><row r="30"><cell r="P30"><v>20020</v></cell></row><row r="31"><cell r="B31"><v>61</v></cell><cell r="C31" t="str"><v>JAYA.P.S .</v></cell><cell r="D31" t="str"><v>Senior Executive -Account</v></cell><cell r="E31"><v>14712</v></cell><cell r="F31"><v>7356</v></cell><cell r="G31"><v>2452</v></cell><cell r="H31"><v>24520</v></cell></row><row r="31"><cell r="J31"><v>14712</v></cell><cell r="K31"><v>7356</v></cell><cell r="L31"><v>2452</v></cell></row><row r="31"><cell r="N31"><v>30</v></cell></row><row r="31"><cell r="P31"><v>24520</v></cell></row><row r="32"><cell r="B32"><v>63</v></cell><cell r="C32" t="str"><v>MAHESH.K .</v></cell><cell r="D32" t="str"><v>Assistant Manager-Finance</v></cell><cell r="E32"><v>21078</v></cell><cell r="F32"><v>10539</v></cell><cell r="G32"><v>3513</v></cell><cell r="H32"><v>35130</v></cell></row><row r="32"><cell r="J32"><v>21078</v></cell><cell r="K32"><v>10539</v></cell><cell r="L32"><v>3513</v></cell></row><row r="32"><cell r="N32"><v>30</v></cell></row><row r="32"><cell r="P32"><v>35130</v></cell></row><row r="33"><cell r="B33"><v>64</v></cell><cell r="C33" t="str"><v>P.P.SURESH .</v></cell><cell r="D33" t="str"><v>EXECUTIVE (CREDIT CONTROL</v></cell><cell r="E33"><v>11784</v></cell><cell r="F33"><v>5892</v></cell><cell r="G33"><v>1964</v></cell><cell r="H33"><v>19640</v></cell></row><row r="33"><cell r="J33"><v>11784</v></cell><cell r="K33"><v>5892</v></cell><cell r="L33"><v>1964</v></cell></row><row r="33"><cell r="N33"><v>30</v></cell></row><row r="33"><cell r="P33"><v>19640</v></cell></row><row r="34"><cell r="B34"><v>72</v></cell><cell r="C34" t="str"><v>RANJITH.N.R .</v></cell><cell r="D34" t="str"><v>Executive-Packing</v></cell><cell r="E34"><v>13500</v></cell><cell r="F34"><v>6750</v></cell><cell r="G34"><v>2250</v></cell><cell r="H34"><v>22500</v></cell></row><row r="34"><cell r="J34"><v>13500</v></cell><cell r="K34"><v>6750</v></cell><cell r="L34"><v>2250</v></cell></row><row r="34"><cell r="N34"><v>30</v></cell></row><row r="34"><cell r="P34"><v>22500</v></cell></row><row r="35"><cell r="B35"><v>81</v></cell><cell r="C35" t="str"><v>NANDAKUMAR.V .</v></cell><cell r="D35" t="str"><v>BRANCH  IN CHARGE</v></cell><cell r="E35"><v>12150</v></cell><cell r="F35"><v>6075</v></cell><cell r="G35"><v>2025</v></cell><cell r="H35"><v>20250</v></cell></row><row r="35"><cell r="J35"><v>12150</v></cell><cell r="K35"><v>6075</v></cell><cell r="L35"><v>2025</v></cell></row><row r="35"><cell r="N35"><v>30</v></cell></row><row r="35"><cell r="P35"><v>20250</v></cell></row><row r="36"><cell r="B36"><v>196</v></cell><cell r="C36" t="str"><v>SHARAD.D.MUNDAPPAT .</v></cell><cell r="D36" t="str"><v>Sr.Executive-H.R</v></cell><cell r="E36"><v>14460</v></cell><cell r="F36"><v>7230</v></cell><cell r="G36"><v>2410</v></cell><cell r="H36"><v>24100</v></cell></row><row r="36"><cell r="J36"><v>14460</v></cell><cell r="K36"><v>7230</v></cell><cell r="L36"><v>2410</v></cell></row><row r="36"><cell r="N36"><v>30</v></cell></row><row r="36"><cell r="P36"><v>24100</v></cell></row><row r="37"><cell r="B37"><v>213</v></cell><cell r="C37" t="str"><v>SANDESH.P.B .</v></cell><cell r="D37" t="str"><v>Office Assistant</v></cell><cell r="E37"><v>9894</v></cell><cell r="F37"><v>4947</v></cell><cell r="G37"><v>1649</v></cell><cell r="H37"><v>16490</v></cell></row><row r="37"><cell r="J37"><v>9894</v></cell><cell r="K37"><v>4947</v></cell><cell r="L37"><v>1649</v></cell></row><row r="37"><cell r="N37"><v>30</v></cell></row><row r="37"><cell r="P37"><v>16490</v></cell></row><row r="38"><cell r="B38"><v>216</v></cell><cell r="C38" t="str"><v>DINESH.A.C .</v></cell><cell r="D38" t="str"><v>Senior  Assistant-Despatc</v></cell><cell r="E38"><v>10446</v></cell><cell r="F38"><v>5223</v></cell><cell r="G38"><v>1741</v></cell><cell r="H38"><v>17410</v></cell></row><row r="38"><cell r="J38"><v>10446</v></cell><cell r="K38"><v>5223</v></cell><cell r="L38"><v>1741</v></cell></row><row r="38"><cell r="N38"><v>30</v></cell></row><row r="38"><cell r="P38"><v>17410</v></cell></row><row r="39"><cell r="B39"><v>235</v></cell><cell r="C39" t="str"><v>JITHESH. M .</v></cell><cell r="D39" t="str"><v>Assistant Manager-Stores</v></cell><cell r="E39"><v>20664</v></cell><cell r="F39"><v>10332</v></cell><cell r="G39"><v>3444</v></cell><cell r="H39"><v>34440</v></cell></row><row r="39"><cell r="J39"><v>20664</v></cell><cell r="K39"><v>10332</v></cell><cell r="L39"><v>3444</v></cell></row><row r="39"><cell r="N39"><v>30</v></cell></row><row r="39"><cell r="P39"><v>34440</v></cell></row><row r="40"><cell r="B40"><v>654</v></cell><cell r="C40" t="str"><v>VINCENT T.P .</v></cell><cell r="D40" t="str"><v>A.G.M-Purchase</v></cell><cell r="E40"><v>49134</v></cell><cell r="F40"><v>24567</v></cell><cell r="G40"><v>8189</v></cell><cell r="H40"><v>81890</v></cell><cell r="I40"><v>10000</v></cell><cell r="J40"><v>49134</v></cell><cell r="K40"><v>24567</v></cell><cell r="L40"><v>8189</v></cell></row><row r="40"><cell r="N40"><v>30</v></cell></row><row r="40"><cell r="P40"><v>81890</v></cell></row><row r="41"><cell r="B41"><v>658</v></cell><cell r="C41" t="str"><v>PRAMEELA.V.S .</v></cell><cell r="D41" t="str"><v>Executive Purchase</v></cell><cell r="E41"><v>11646</v></cell><cell r="F41"><v>5823</v></cell><cell r="G41"><v>1941</v></cell><cell r="H41"><v>19410</v></cell></row><row r="41"><cell r="J41"><v>11646</v></cell><cell r="K41"><v>5823</v></cell><cell r="L41"><v>1941</v></cell></row><row r="41"><cell r="N41"><v>30</v></cell></row><row r="41"><cell r="P41"><v>19410</v></cell></row><row r="42"><cell r="B42"><v>659</v></cell><cell r="C42" t="str"><v>SAJAN.S .</v></cell><cell r="D42" t="str"><v>Assistant Manager-Logisti</v></cell><cell r="E42"><v>18060</v></cell><cell r="F42"><v>9030</v></cell><cell r="G42"><v>3010</v></cell><cell r="H42"><v>30100</v></cell></row><row r="42"><cell r="J42"><v>18060</v></cell><cell r="K42"><v>9030</v></cell><cell r="L42"><v>3010</v></cell></row><row r="42"><cell r="N42"><v>30</v></cell></row><row r="42"><cell r="P42"><v>30100</v></cell></row><row r="43"><cell r="B43"><v>669</v></cell><cell r="C43" t="str"><v>JAYAPRAKASH K .</v></cell><cell r="D43" t="str"><v>Assistant Manager-Materia</v></cell><cell r="E43"><v>17310</v></cell><cell r="F43"><v>8655</v></cell><cell r="G43"><v>2885</v></cell><cell r="H43"><v>28850</v></cell></row><row r="43"><cell r="J43"><v>17310</v></cell><cell r="K43"><v>8655</v></cell><cell r="L43"><v>2885</v></cell></row><row r="43"><cell r="N43"><v>30</v></cell></row><row r="43"><cell r="P43"><v>28850</v></cell></row><row r="44"><cell r="B44"><v>675</v></cell><cell r="C44" t="str"><v>RAJESH.U .</v></cell><cell r="D44" t="str"><v>Deputy Manager-Microbiolo</v></cell><cell r="E44"><v>20850</v></cell><cell r="F44"><v>10425</v></cell><cell r="G44"><v>3475</v></cell><cell r="H44"><v>34750</v></cell></row><row r="44"><cell r="J44"><v>20850</v></cell><cell r="K44"><v>10425</v></cell><cell r="L44"><v>3475</v></cell></row><row r="44"><cell r="N44"><v>30</v></cell></row><row r="44"><cell r="P44"><v>34750</v></cell></row><row r="45"><cell r="B45"><v>727</v></cell><cell r="C45" t="str"><v>NIKHILA.K.B .</v></cell><cell r="D45" t="str"><v>Jr.Executive-Logistics</v></cell><cell r="E45"><v>11802</v></cell><cell r="F45"><v>5901</v></cell><cell r="G45"><v>1967</v></cell><cell r="H45"><v>19670</v></cell></row><row r="45"><cell r="J45"><v>11802</v></cell><cell r="K45"><v>5901</v></cell><cell r="L45"><v>1967</v></cell></row><row r="45"><cell r="N45"><v>30</v></cell></row><row r="45"><cell r="P45"><v>19670</v></cell></row><row r="46"><cell r="B46"><v>731</v></cell><cell r="C46" t="str"><v>K.C.REGHUNATH .</v></cell><cell r="D46" t="str"><v>SENIOR TERRITORY SALES EX</v></cell><cell r="E46"><v>11868</v></cell><cell r="F46"><v>5934</v></cell><cell r="G46"><v>1978</v></cell><cell r="H46"><v>19780</v></cell></row><row r="46"><cell r="J46"><v>11868</v></cell><cell r="K46"><v>5934</v></cell><cell r="L46"><v>1978</v></cell></row><row r="46"><cell r="N46"><v>30</v></cell></row><row r="46"><cell r="P46"><v>19780</v></cell></row><row r="47"><cell r="B47"><v>747</v></cell><cell r="C47" t="str"><v>AMBIKADEVI.M .</v></cell><cell r="D47" t="str"><v>Sr.Mgr.Treasury & Account</v></cell><cell r="E47"><v>30774</v></cell><cell r="F47"><v>15387</v></cell><cell r="G47"><v>5129</v></cell><cell r="H47"><v>51290</v></cell></row><row r="47"><cell r="J47"><v>30774</v></cell><cell r="K47"><v>15387</v></cell><cell r="L47"><v>5129</v></cell></row><row r="47"><cell r="N47"><v>30</v></cell></row><row r="47"><cell r="P47"><v>51290</v></cell></row><row r="48"><cell r="B48"><v>808</v></cell><cell r="C48" t="str"><v>SUJESH K.T .</v></cell><cell r="D48" t="str"><v>Territory Sales Executive</v></cell><cell r="E48"><v>11484</v></cell><cell r="F48"><v>5742</v></cell><cell r="G48"><v>1914</v></cell><cell r="H48"><v>19140</v></cell></row><row r="48"><cell r="J48"><v>11484</v></cell><cell r="K48"><v>5742</v></cell><cell r="L48"><v>1914</v></cell></row><row r="48"><cell r="N48"><v>30</v></cell></row><row r="48"><cell r="P48"><v>19140</v></cell></row><row r="49"><cell r="B49"><v>834</v></cell><cell r="C49" t="str"><v>BINDU .N</v></cell><cell r="D49" t="str"><v>Senior Executive -Account</v></cell><cell r="E49"><v>19152</v></cell><cell r="F49"><v>9576</v></cell><cell r="G49"><v>3192</v></cell><cell r="H49"><v>31920</v></cell></row><row r="49"><cell r="J49"><v>19152</v></cell><cell r="K49"><v>9576</v></cell><cell r="L49"><v>3192</v></cell></row><row r="49"><cell r="N49"><v>30</v></cell></row><row r="49"><cell r="P49"><v>31920</v></cell></row><row r="50"><cell r="B50"><v>867</v></cell><cell r="C50" t="str"><v>SUMA RAJAN</v></cell><cell r="D50" t="str"><v>Depo in charge- Cherthala</v></cell><cell r="E50"><v>11244</v></cell><cell r="F50"><v>5622</v></cell><cell r="G50"><v>1874</v></cell><cell r="H50"><v>18740</v></cell></row><row r="50"><cell r="J50"><v>11244</v></cell><cell r="K50"><v>5622</v></cell><cell r="L50"><v>1874</v></cell></row><row r="50"><cell r="N50"><v>30</v></cell></row><row r="50"><cell r="P50"><v>18740</v></cell></row><row r="51"><cell r="B51"><v>879</v></cell><cell r="C51" t="str"><v>SWAPNA S.PILLAI</v></cell><cell r="D51" t="str"><v>Depot In Charge-Changanas</v></cell><cell r="E51"><v>10566</v></cell><cell r="F51"><v>5283</v></cell><cell r="G51"><v>1761</v></cell><cell r="H51"><v>17610</v></cell></row><row r="51"><cell r="J51"><v>10566</v></cell><cell r="K51"><v>5283</v></cell><cell r="L51"><v>1761</v></cell></row><row r="51"><cell r="N51"><v>30</v></cell></row><row r="51"><cell r="P51"><v>17610</v></cell></row><row r="52"><cell r="B52"><v>889</v></cell><cell r="C52" t="str"><v>PRAKASH O.P</v></cell><cell r="D52" t="str"><v>Assistant -Store</v></cell><cell r="E52"><v>10014</v></cell><cell r="F52"><v>5007</v></cell><cell r="G52"><v>1669</v></cell><cell r="H52"><v>16690</v></cell></row><row r="52"><cell r="J52"><v>6676</v></cell><cell r="K52"><v>3338</v></cell><cell r="L52"><v>1112.67</v></cell></row><row r="52"><cell r="N52"><v>20</v></cell><cell r="O52"><v>10</v></cell><cell r="P52"><v>11126.67</v></cell></row><row r="53"><cell r="B53"><v>894</v></cell><cell r="C53" t="str"><v>ANTONY LAWRENCE .A</v></cell><cell r="D53" t="str"><v>Asst.Manager-Food Safety</v></cell><cell r="E53"><v>21534</v></cell><cell r="F53"><v>10767</v></cell><cell r="G53"><v>3589</v></cell><cell r="H53"><v>35890</v></cell></row><row r="53"><cell r="J53"><v>21534</v></cell><cell r="K53"><v>10767</v></cell><cell r="L53"><v>3589</v></cell></row><row r="53"><cell r="N53"><v>30</v></cell></row><row r="53"><cell r="P53"><v>35890</v></cell></row><row r="54"><cell r="B54"><v>1040</v></cell><cell r="C54" t="str"><v>BABU.P.T .</v></cell><cell r="D54" t="str"><v>Senior Fabricator</v></cell><cell r="E54"><v>19680</v></cell><cell r="F54"><v>9840</v></cell><cell r="G54"><v>3280</v></cell><cell r="H54"><v>32800</v></cell></row><row r="54"><cell r="J54"><v>19680</v></cell><cell r="K54"><v>9840</v></cell><cell r="L54"><v>3280</v></cell></row><row r="54"><cell r="N54"><v>30</v></cell></row><row r="54"><cell r="P54"><v>32800</v></cell></row><row r="55"><cell r="B55"><v>1056</v></cell><cell r="C55" t="str"><v>K.M.GIRISH KUMAR .</v></cell><cell r="D55" t="str"><v>T.S.E(Kottayam & Changana</v></cell><cell r="E55"><v>11412</v></cell><cell r="F55"><v>5706</v></cell><cell r="G55"><v>1902</v></cell><cell r="H55"><v>19020</v></cell></row><row r="55"><cell r="J55"><v>11412</v></cell><cell r="K55"><v>5706</v></cell><cell r="L55"><v>1902</v></cell></row><row r="55"><cell r="N55"><v>30</v></cell></row><row r="55"><cell r="P55"><v>19020</v></cell></row><row r="56"><cell r="B56"><v>1076</v></cell><cell r="C56" t="str"><v>FEBIN.T.I .</v></cell><cell r="D56" t="str"><v>Jr.Exe.-Maintenance</v></cell><cell r="E56"><v>12600</v></cell><cell r="F56"><v>6300</v></cell><cell r="G56"><v>2100</v></cell><cell r="H56"><v>21000</v></cell></row><row r="56"><cell r="J56"><v>12600</v></cell><cell r="K56"><v>6300</v></cell><cell r="L56"><v>2100</v></cell></row><row r="56"><cell r="N56"><v>30</v></cell></row><row r="56"><cell r="P56"><v>21000</v></cell></row><row r="57"><cell r="B57"><v>1101</v></cell><cell r="C57" t="str"><v>JOMY JOSEPH .</v></cell><cell r="D57" t="str"><v>Senior Executive-I.T</v></cell><cell r="E57"><v>19368</v></cell><cell r="F57"><v>9684</v></cell><cell r="G57"><v>3228</v></cell><cell r="H57"><v>32280</v></cell></row><row r="57"><cell r="J57"><v>19368</v></cell><cell r="K57"><v>9684</v></cell><cell r="L57"><v>3228</v></cell></row><row r="57"><cell r="N57"><v>30</v></cell></row><row r="57"><cell r="P57"><v>32280</v></cell></row><row r="58"><cell r="B58"><v>1158</v></cell><cell r="C58" t="str"><v>SUMESH.C.S .</v></cell><cell r="D58" t="str"><v>Senior  Assistant-Stores</v></cell><cell r="E58"><v>10356</v></cell><cell r="F58"><v>5178</v></cell><cell r="G58"><v>1726</v></cell><cell r="H58"><v>17260</v></cell></row><row r="58"><cell r="J58"><v>10356</v></cell><cell r="K58"><v>5178</v></cell><cell r="L58"><v>1726</v></cell></row><row r="58"><cell r="N58"><v>30</v></cell></row><row r="58"><cell r="P58"><v>17260</v></cell></row><row r="59"><cell r="B59"><v>1254</v></cell><cell r="C59" t="str"><v>SHIJU.P.C .</v></cell><cell r="D59" t="str"><v>FITTER</v></cell><cell r="E59"><v>13980</v></cell><cell r="F59"><v>6990</v></cell><cell r="G59"><v>2330</v></cell><cell r="H59"><v>23300</v></cell></row><row r="59"><cell r="J59"><v>13980</v></cell><cell r="K59"><v>6990</v></cell><cell r="L59"><v>2330</v></cell></row><row r="59"><cell r="N59"><v>30</v></cell></row><row r="59"><cell r="P59"><v>23300</v></cell></row><row r="60"><cell r="B60"><v>1256</v></cell><cell r="C60" t="str"><v>UNNIKRISHNAN.M .</v></cell><cell r="D60" t="str"><v>Senior  Assistant-Stores</v></cell><cell r="E60"><v>8904</v></cell><cell r="F60"><v>4452</v></cell><cell r="G60"><v>1484</v></cell><cell r="H60"><v>14840</v></cell></row><row r="60"><cell r="J60"><v>8904</v></cell><cell r="K60"><v>4452</v></cell><cell r="L60"><v>1484</v></cell></row><row r="60"><cell r="N60"><v>30</v></cell></row><row r="60"><cell r="P60"><v>14840</v></cell></row><row r="61"><cell r="B61"><v>1259</v></cell><cell r="C61" t="str"><v>VIVEK.P.J .</v></cell><cell r="D61" t="str"><v>Unit Incharge</v></cell><cell r="E61"><v>25200</v></cell><cell r="F61"><v>12600</v></cell><cell r="G61"><v>4200</v></cell><cell r="H61"><v>42000</v></cell></row><row r="61"><cell r="J61"><v>25200</v></cell><cell r="K61"><v>12600</v></cell><cell r="L61"><v>4200</v></cell></row><row r="61"><cell r="N61"><v>30</v></cell></row><row r="61"><cell r="P61"><v>42000</v></cell></row><row r="62"><cell r="B62"><v>1368</v></cell><cell r="C62" t="str"><v>JYOTHI SADANANDAN .</v></cell><cell r="D62" t="str"><v>GENERAL ASSISTANT</v></cell><cell r="E62"><v>7482</v></cell><cell r="F62"><v>3741</v></cell><cell r="G62"><v>1247</v></cell><cell r="H62"><v>12470</v></cell></row><row r="62"><cell r="J62"><v>7482</v></cell><cell r="K62"><v>3741</v></cell><cell r="L62"><v>1247</v></cell></row><row r="62"><cell r="N62"><v>30</v></cell></row><row r="62"><cell r="P62"><v>12470</v></cell></row><row r="63"><cell r="B63"><v>1379</v></cell><cell r="C63" t="str"><v>NISHA.A .</v></cell><cell r="D63" t="str"><v>Sr.Executive -NPD</v></cell><cell r="E63"><v>16770</v></cell><cell r="F63"><v>8385</v></cell><cell r="G63"><v>2795</v></cell><cell r="H63"><v>27950</v></cell></row><row r="63"><cell r="J63"><v>16770</v></cell><cell r="K63"><v>8385</v></cell><cell r="L63"><v>2795</v></cell></row><row r="63"><cell r="N63"><v>30</v></cell></row><row r="63"><cell r="P63"><v>27950</v></cell></row><row r="64"><cell r="B64"><v>1397</v></cell><cell r="C64" t="str"><v>JAYAKUMAR.K.P .</v></cell><cell r="D64" t="str"><v>TERRITORY SALES EXECUTIVE</v></cell><cell r="E64"><v>9042</v></cell><cell r="F64"><v>4521</v></cell><cell r="G64"><v>1507</v></cell><cell r="H64"><v>15070</v></cell></row><row r="64"><cell r="J64"><v>9042</v></cell><cell r="K64"><v>4521</v></cell><cell r="L64"><v>1507</v></cell></row><row r="64"><cell r="N64"><v>30</v></cell></row><row r="64"><cell r="P64"><v>15070</v></cell></row><row r="65"><cell r="B65"><v>1399</v></cell><cell r="C65" t="str"><v>VIGEESH.A.V .</v></cell><cell r="D65" t="str"><v>STORES ASSISTANT</v></cell><cell r="E65"><v>8286</v></cell><cell r="F65"><v>4143</v></cell><cell r="G65"><v>1381</v></cell><cell r="H65"><v>13810</v></cell></row><row r="65"><cell r="J65"><v>8286</v></cell><cell r="K65"><v>4143</v></cell><cell r="L65"><v>1381</v></cell></row><row r="65"><cell r="N65"><v>30</v></cell></row><row r="65"><cell r="P65"><v>13810</v></cell></row><row r="66"><cell r="B66"><v>1413</v></cell><cell r="C66" t="str"><v>RATNA KUMAR.K.K .</v></cell><cell r="D66" t="str"><v>Executive Purchase</v></cell><cell r="E66"><v>14514</v></cell><cell r="F66"><v>7257</v></cell><cell r="G66"><v>2419</v></cell><cell r="H66"><v>24190</v></cell></row><row r="66"><cell r="J66"><v>14514</v></cell><cell r="K66"><v>7257</v></cell><cell r="L66"><v>2419</v></cell></row><row r="66"><cell r="N66"><v>30</v></cell></row><row r="66"><cell r="P66"><v>24190</v></cell></row><row r="67"><cell r="B67"><v>1420</v></cell><cell r="C67" t="str"><v>PRASANTH.V.B .</v></cell><cell r="D67" t="str"><v>SENIOR TERRITORY SALES EX</v></cell><cell r="E67"><v>13254</v></cell><cell r="F67"><v>6627</v></cell><cell r="G67"><v>2209</v></cell><cell r="H67"><v>22090</v></cell></row><row r="67"><cell r="J67"><v>13254</v></cell><cell r="K67"><v>6627</v></cell><cell r="L67"><v>2209</v></cell></row><row r="67"><cell r="N67"><v>30</v></cell></row><row r="67"><cell r="P67"><v>22090</v></cell></row><row r="68"><cell r="B68"><v>1435</v></cell><cell r="C68" t="str"><v>JAIMON.K.R .</v></cell><cell r="D68" t="str"><v>Executive-Food Safety &Qu</v></cell><cell r="E68"><v>15684</v></cell><cell r="F68"><v>7842</v></cell><cell r="G68"><v>2614</v></cell><cell r="H68"><v>26140</v></cell></row><row r="68"><cell r="J68"><v>15684</v></cell><cell r="K68"><v>7842</v></cell><cell r="L68"><v>2614</v></cell></row><row r="68"><cell r="N68"><v>30</v></cell></row><row r="68"><cell r="P68"><v>26140</v></cell></row><row r="69"><cell r="B69"><v>1450</v></cell><cell r="C69" t="str"><v>MOHAN KUMAR.S .</v></cell><cell r="D69" t="str"><v>TERRITORY SALES EXECUTIVE</v></cell><cell r="E69"><v>10632</v></cell><cell r="F69"><v>5316</v></cell><cell r="G69"><v>1772</v></cell><cell r="H69"><v>17720</v></cell></row><row r="69"><cell r="J69"><v>10632</v></cell><cell r="K69"><v>5316</v></cell><cell r="L69"><v>1772</v></cell></row><row r="69"><cell r="N69"><v>30</v></cell></row><row r="69"><cell r="P69"><v>17720</v></cell></row><row r="70"><cell r="B70"><v>1454</v></cell><cell r="C70" t="str"><v>ALEXANDER.P.J .</v></cell><cell r="D70" t="str"><v>FITTER</v></cell><cell r="E70"><v>13002</v></cell><cell r="F70"><v>6501</v></cell><cell r="G70"><v>2167</v></cell><cell r="H70"><v>21670</v></cell></row><row r="70"><cell r="J70"><v>13002</v></cell><cell r="K70"><v>6501</v></cell><cell r="L70"><v>2167</v></cell></row><row r="70"><cell r="N70"><v>30</v></cell></row><row r="70"><cell r="P70"><v>21670</v></cell></row><row r="71"><cell r="B71"><v>1507</v></cell><cell r="C71" t="str"><v>RAMESH KRISHNAN .</v></cell><cell r="D71" t="str"><v>Assistant Manager -Accoun</v></cell><cell r="E71"><v>18516</v></cell><cell r="F71"><v>9258</v></cell><cell r="G71"><v>3086</v></cell><cell r="H71"><v>30860</v></cell></row><row r="71"><cell r="J71"><v>18516</v></cell><cell r="K71"><v>9258</v></cell><cell r="L71"><v>3086</v></cell></row><row r="71"><cell r="N71"><v>30</v></cell></row><row r="71"><cell r="P71"><v>30860</v></cell></row><row r="72"><cell r="B72"><v>1525</v></cell><cell r="C72" t="str"><v>NAVANEETH KRISHNAN .</v></cell><cell r="D72" t="str"><v>Territory Sales Executive</v></cell><cell r="E72"><v>12978</v></cell><cell r="F72"><v>6489</v></cell><cell r="G72"><v>2163</v></cell><cell r="H72"><v>21630</v></cell></row><row r="72"><cell r="J72"><v>12978</v></cell><cell r="K72"><v>6489</v></cell><cell r="L72"><v>2163</v></cell></row><row r="72"><cell r="N72"><v>30</v></cell></row><row r="72"><cell r="P72"><v>21630</v></cell></row><row r="73"><cell r="B73"><v>1540</v></cell><cell r="C73" t="str"><v>PRASANTH.B .</v></cell><cell r="D73" t="str"><v>Assistant Manager-Enginee</v></cell><cell r="E73"><v>15822</v></cell><cell r="F73"><v>7911</v></cell><cell r="G73"><v>2637</v></cell><cell r="H73"><v>26370</v></cell></row><row r="73"><cell r="J73"><v>15822</v></cell><cell r="K73"><v>7911</v></cell><cell r="L73"><v>2637</v></cell></row><row r="73"><cell r="N73"><v>30</v></cell></row><row r="73"><cell r="P73"><v>26370</v></cell></row><row r="74"><cell r="B74"><v>1559</v></cell><cell r="C74" t="str"><v>REMA DEVY.A .</v></cell><cell r="D74" t="str"><v>Manager-Materials</v></cell><cell r="E74"><v>32466</v></cell><cell r="F74"><v>16233</v></cell><cell r="G74"><v>5411</v></cell><cell r="H74"><v>54110</v></cell></row><row r="74"><cell r="J74"><v>32466</v></cell><cell r="K74"><v>16233</v></cell><cell r="L74"><v>5411</v></cell></row><row r="74"><cell r="N74"><v>30</v></cell></row><row r="74"><cell r="P74"><v>54110</v></cell></row><row r="75"><cell r="B75"><v>1560</v></cell><cell r="C75" t="str"><v>NIDHUN RADHAKRISHNAN .</v></cell><cell r="D75" t="str"><v>Jr.Executive-Accounts</v></cell><cell r="E75"><v>10500</v></cell><cell r="F75"><v>5250</v></cell><cell r="G75"><v>1750</v></cell><cell r="H75"><v>17500</v></cell></row><row r="75"><cell r="J75"><v>10500</v></cell><cell r="K75"><v>5250</v></cell><cell r="L75"><v>1750</v></cell></row><row r="75"><cell r="N75"><v>30</v></cell></row><row r="75"><cell r="P75"><v>17500</v></cell></row><row r="76"><cell r="B76"><v>1561</v></cell><cell r="C76" t="str"><v>ANITHA KUMARI.C.G .</v></cell><cell r="D76" t="str"><v>SWEEPER</v></cell><cell r="E76"><v>7572</v></cell><cell r="F76"><v>3786</v></cell><cell r="G76"><v>1262</v></cell><cell r="H76"><v>12620</v></cell></row><row r="76"><cell r="J76"><v>7572</v></cell><cell r="K76"><v>3786</v></cell><cell r="L76"><v>1262</v></cell></row><row r="76"><cell r="N76"><v>30</v></cell></row><row r="76"><cell r="P76"><v>12620</v></cell></row><row r="77"><cell r="B77"><v>1573</v></cell><cell r="C77" t="str"><v>DINU DAVIS .</v></cell><cell r="D77" t="str"><v>Jr.Executive-Maintenance</v></cell><cell r="E77"><v>14652</v></cell><cell r="F77"><v>7326</v></cell><cell r="G77"><v>2442</v></cell><cell r="H77"><v>24420</v></cell></row><row r="77"><cell r="J77"><v>14652</v></cell><cell r="K77"><v>7326</v></cell><cell r="L77"><v>2442</v></cell></row><row r="77"><cell r="N77"><v>30</v></cell></row><row r="77"><cell r="P77"><v>24420</v></cell></row><row r="78"><cell r="B78"><v>1613</v></cell><cell r="C78" t="str"><v>RAHUL.P .</v></cell><cell r="D78" t="str"><v>Executive-Accounts</v></cell><cell r="E78"><v>12240</v></cell><cell r="F78"><v>6120</v></cell><cell r="G78"><v>2040</v></cell><cell r="H78"><v>20400</v></cell></row><row r="78"><cell r="J78"><v>12240</v></cell><cell r="K78"><v>6120</v></cell><cell r="L78"><v>2040</v></cell></row><row r="78"><cell r="N78"><v>30</v></cell></row><row r="78"><cell r="P78"><v>20400</v></cell></row><row r="79"><cell r="B79"><v>1617</v></cell><cell r="C79" t="str"><v>SREELAL.R .</v></cell><cell r="D79" t="str"><v>SENIOR TERRITORY SALES EX</v></cell><cell r="E79"><v>14064</v></cell><cell r="F79"><v>7032</v></cell><cell r="G79"><v>2344</v></cell><cell r="H79"><v>23440</v></cell></row><row r="79"><cell r="J79"><v>14064</v></cell><cell r="K79"><v>7032</v></cell><cell r="L79"><v>2344</v></cell></row><row r="79"><cell r="N79"><v>30</v></cell></row><row r="79"><cell r="P79"><v>23440</v></cell></row><row r="80"><cell r="B80"><v>1619</v></cell><cell r="C80" t="str"><v>ANIL KUMAR.E.K .</v></cell><cell r="D80" t="str"><v>Sr.Executive-Logistics</v></cell><cell r="E80"><v>17850</v></cell><cell r="F80"><v>8925</v></cell><cell r="G80"><v>2975</v></cell><cell r="H80"><v>29750</v></cell></row><row r="80"><cell r="J80"><v>17850</v></cell><cell r="K80"><v>8925</v></cell><cell r="L80"><v>2975</v></cell></row><row r="80"><cell r="N80"><v>30</v></cell></row><row r="80"><cell r="P80"><v>29750</v></cell></row><row r="81"><cell r="B81"><v>1621</v></cell><cell r="C81" t="str"><v>SARITHA PRADEEP .</v></cell><cell r="D81" t="str"><v>Senior  Assistant-H.R</v></cell><cell r="E81"><v>11904</v></cell><cell r="F81"><v>5952</v></cell><cell r="G81"><v>1984</v></cell><cell r="H81"><v>19840</v></cell></row><row r="81"><cell r="J81"><v>11904</v></cell><cell r="K81"><v>5952</v></cell><cell r="L81"><v>1984</v></cell></row><row r="81"><cell r="N81"><v>30</v></cell></row><row r="81"><cell r="P81"><v>19840</v></cell></row><row r="82"><cell r="B82"><v>1667</v></cell><cell r="C82" t="str"><v>BIBY BOBAN .</v></cell><cell r="D82" t="str"><v>Territory Sales Manager</v></cell><cell r="E82"><v>25254</v></cell><cell r="F82"><v>12627</v></cell><cell r="G82"><v>4209</v></cell><cell r="H82"><v>42090</v></cell></row><row r="82"><cell r="J82"><v>25254</v></cell><cell r="K82"><v>12627</v></cell><cell r="L82"><v>4209</v></cell></row><row r="82"><cell r="N82"><v>30</v></cell></row><row r="82"><cell r="P82"><v>42090</v></cell></row><row r="83"><cell r="B83"><v>1680</v></cell><cell r="C83" t="str"><v>PAUL.D.NADAKKALAN .</v></cell><cell r="D83" t="str"><v>Head-Manufacturing</v></cell><cell r="E83"><v>93358</v></cell><cell r="F83"><v>46679</v></cell><cell r="G83"><v>15560</v></cell><cell r="H83"><v>155597</v></cell><cell r="I83"><v>34403</v></cell><cell r="J83"><v>93358</v></cell><cell r="K83"><v>46679</v></cell><cell r="L83"><v>15560</v></cell></row><row r="83"><cell r="N83"><v>30</v></cell></row><row r="83"><cell r="P83"><v>155597</v></cell></row><row r="84"><cell r="B84"><v>1682</v></cell><cell r="C84" t="str"><v>DINESH.K.G .</v></cell><cell r="D84" t="str"><v>R.S.M-Karnataka</v></cell><cell r="E84"><v>79128</v></cell><cell r="F84"><v>39564</v></cell><cell r="G84"><v>13188</v></cell><cell r="H84"><v>131880</v></cell></row><row r="84"><cell r="J84"><v>79128</v></cell><cell r="K84"><v>39564</v></cell><cell r="L84"><v>13188</v></cell></row><row r="84"><cell r="N84"><v>30</v></cell></row><row r="84"><cell r="P84"><v>131880</v></cell></row><row r="85"><cell r="B85"><v>1688</v></cell><cell r="C85" t="str"><v>SUNIL KUMAR.V(Legal) .</v></cell><cell r="D85" t="str"><v>Assistant Manager-Legal</v></cell><cell r="E85"><v>25956</v></cell><cell r="F85"><v>12978</v></cell><cell r="G85"><v>4326</v></cell><cell r="H85"><v>43260</v></cell></row><row r="85"><cell r="J85"><v>25956</v></cell><cell r="K85"><v>12978</v></cell><cell r="L85"><v>4326</v></cell></row><row r="85"><cell r="N85"><v>30</v></cell></row><row r="85"><cell r="P85"><v>43260</v></cell></row><row r="86"><cell r="B86"><v>1747</v></cell><cell r="C86" t="str"><v>RIYAS.S .</v></cell><cell r="D86" t="str"><v>TERRITORY SALES EXECUTIVE</v></cell><cell r="E86"><v>13008</v></cell><cell r="F86"><v>6504</v></cell><cell r="G86"><v>2168</v></cell><cell r="H86"><v>21680</v></cell></row><row r="86"><cell r="J86"><v>13008</v></cell><cell r="K86"><v>6504</v></cell><cell r="L86"><v>2168</v></cell></row><row r="86"><cell r="N86"><v>30</v></cell></row><row r="86"><cell r="P86"><v>21680</v></cell></row><row r="87"><cell r="B87"><v>1750</v></cell><cell r="C87" t="str"><v>SHEENA SANKARANARAYANAN .</v></cell><cell r="D87" t="str"><v>Executive-Accounts</v></cell><cell r="E87"><v>12162</v></cell><cell r="F87"><v>6081</v></cell><cell r="G87"><v>2027</v></cell><cell r="H87"><v>20270</v></cell></row><row r="87"><cell r="J87"><v>11959.3</v></cell><cell r="K87"><v>5979.65</v></cell><cell r="L87"><v>1993.22</v></cell></row><row r="87"><cell r="N87"><v>29.5</v></cell><cell r="O87"><v>0.5</v></cell><cell r="P87"><v>19932.17</v></cell></row><row r="88"><cell r="B88"><v>1805</v></cell><cell r="C88" t="str"><v>VIGIL.M.V .</v></cell><cell r="D88" t="str"><v>Jr.Executive-Accounts</v></cell><cell r="E88"><v>11460</v></cell><cell r="F88"><v>5730</v></cell><cell r="G88"><v>1910</v></cell><cell r="H88"><v>19100</v></cell></row><row r="88"><cell r="J88"><v>11460</v></cell><cell r="K88"><v>5730</v></cell><cell r="L88"><v>1910</v></cell></row><row r="88"><cell r="N88"><v>30</v></cell></row><row r="88"><cell r="P88"><v>19100</v></cell></row><row r="89"><cell r="B89"><v>1818</v></cell><cell r="C89" t="str"><v>ANEESH.K.V .</v></cell><cell r="D89" t="str"><v>Executive-Accounts</v></cell><cell r="E89"><v>13044</v></cell><cell r="F89"><v>6522</v></cell><cell r="G89"><v>2174</v></cell><cell r="H89"><v>21740</v></cell></row><row r="89"><cell r="J89"><v>13044</v></cell><cell r="K89"><v>6522</v></cell><cell r="L89"><v>2174</v></cell></row><row r="89"><cell r="N89"><v>30</v></cell></row><row r="89"><cell r="P89"><v>21740</v></cell></row><row r="90"><cell r="B90"><v>1819</v></cell><cell r="C90" t="str"><v>RAGESH.M.R .</v></cell><cell r="D90" t="str"><v>FITTER</v></cell><cell r="E90"><v>12588</v></cell><cell r="F90"><v>6294</v></cell><cell r="G90"><v>2098</v></cell><cell r="H90"><v>20980</v></cell></row><row r="90"><cell r="J90"><v>12588</v></cell><cell r="K90"><v>6294</v></cell><cell r="L90"><v>2098</v></cell></row><row r="90"><cell r="N90"><v>30</v></cell></row><row r="90"><cell r="P90"><v>20980</v></cell></row><row r="91"><cell r="B91"><v>1826</v></cell><cell r="C91" t="str"><v>MANU.R .</v></cell><cell r="D91" t="str"><v>Supervisor-Maintenance</v></cell><cell r="E91"><v>12828</v></cell><cell r="F91"><v>6414</v></cell><cell r="G91"><v>2138</v></cell><cell r="H91"><v>21380</v></cell></row><row r="91"><cell r="J91"><v>12828</v></cell><cell r="K91"><v>6414</v></cell><cell r="L91"><v>2138</v></cell></row><row r="91"><cell r="N91"><v>30</v></cell></row><row r="91"><cell r="P91"><v>21380</v></cell></row><row r="92"><cell r="B92"><v>1829</v></cell><cell r="C92" t="str"><v>SAJEEV.T .</v></cell><cell r="D92" t="str"><v>Assistant -Accounts</v></cell><cell r="E92"><v>10938</v></cell><cell r="F92"><v>5469</v></cell><cell r="G92"><v>1823</v></cell><cell r="H92"><v>18230</v></cell></row><row r="92"><cell r="J92"><v>10938</v></cell><cell r="K92"><v>5469</v></cell><cell r="L92"><v>1823</v></cell></row><row r="92"><cell r="N92"><v>30</v></cell></row><row r="92"><cell r="P92"><v>18230</v></cell></row><row r="93"><cell r="B93"><v>1830</v></cell><cell r="C93" t="str"><v>JINS JOHN .</v></cell><cell r="D93" t="str"><v>FITTER</v></cell><cell r="E93"><v>10578</v></cell><cell r="F93"><v>5289</v></cell><cell r="G93"><v>1763</v></cell><cell r="H93"><v>17630</v></cell></row><row r="93"><cell r="J93"><v>10578</v></cell><cell r="K93"><v>5289</v></cell><cell r="L93"><v>1763</v></cell></row><row r="93"><cell r="N93"><v>30</v></cell></row><row r="93"><cell r="P93"><v>17630</v></cell></row><row r="94"><cell r="B94"><v>1840</v></cell><cell r="C94" t="str"><v>MANJU RAJENDRAN .</v></cell><cell r="D94" t="str"><v>Assistant-Admin</v></cell><cell r="E94"><v>9210</v></cell><cell r="F94"><v>4605</v></cell><cell r="G94"><v>1535</v></cell><cell r="H94"><v>15350</v></cell></row><row r="94"><cell r="J94"><v>9210</v></cell><cell r="K94"><v>4605</v></cell><cell r="L94"><v>1535</v></cell></row><row r="94"><cell r="N94"><v>30</v></cell></row><row r="94"><cell r="P94"><v>15350</v></cell></row><row r="95"><cell r="B95"><v>1844</v></cell><cell r="C95" t="str"><v>VIJAI KUMAR TIWARI .</v></cell><cell r="D95" t="str"><v>Sr.Executive- Mandi Opera</v></cell><cell r="E95"><v>25668</v></cell><cell r="F95"><v>12834</v></cell><cell r="G95"><v>4278</v></cell><cell r="H95"><v>42780</v></cell></row><row r="95"><cell r="J95"><v>25668</v></cell><cell r="K95"><v>12834</v></cell><cell r="L95"><v>4278</v></cell></row><row r="95"><cell r="N95"><v>30</v></cell></row><row r="95"><cell r="P95"><v>42780</v></cell></row><row r="96"><cell r="B96"><v>1850</v></cell><cell r="C96" t="str"><v>N.PANDIARAJAN .</v></cell><cell r="D96" t="str"><v>Sr.Area Sales Manager-ROT</v></cell><cell r="E96"><v>48888</v></cell><cell r="F96"><v>24444</v></cell><cell r="G96"><v>8148</v></cell><cell r="H96"><v>81480</v></cell></row><row r="96"><cell r="J96"><v>48888</v></cell><cell r="K96"><v>24444</v></cell><cell r="L96"><v>8148</v></cell></row><row r="96"><cell r="N96"><v>30</v></cell></row><row r="96"><cell r="P96"><v>81480</v></cell></row><row r="97"><cell r="B97"><v>1851</v></cell><cell r="C97" t="str"><v>SUBHASH CHANDRA MISHRA .</v></cell><cell r="D97" t="str"><v>Sr.Executive-Mandi Operat</v></cell><cell r="E97"><v>24180</v></cell><cell r="F97"><v>12090</v></cell><cell r="G97"><v>4030</v></cell><cell r="H97"><v>40300</v></cell></row><row r="97"><cell r="J97"><v>24180</v></cell><cell r="K97"><v>12090</v></cell><cell r="L97"><v>4030</v></cell></row><row r="97"><cell r="N97"><v>30</v></cell></row><row r="97"><cell r="P97"><v>40300</v></cell></row><row r="98"><cell r="B98"><v>2043</v></cell><cell r="C98" t="str"><v>NASIM ABDUL KARIM.A.M .</v></cell><cell r="D98" t="str"><v>SENIOR TERRITORY SALES EX</v></cell><cell r="E98"><v>13086</v></cell><cell r="F98"><v>6543</v></cell><cell r="G98"><v>2181</v></cell><cell r="H98"><v>21810</v></cell></row><row r="98"><cell r="J98"><v>13086</v></cell><cell r="K98"><v>6543</v></cell><cell r="L98"><v>2181</v></cell></row><row r="98"><cell r="N98"><v>30</v></cell></row><row r="98"><cell r="P98"><v>21810</v></cell></row><row r="99"><cell r="B99"><v>2114</v></cell><cell r="C99" t="str"><v>SUNIL KUMAR.V .</v></cell><cell r="D99" t="str"><v>Deputy Manager-Export Coo</v></cell><cell r="E99"><v>24630</v></cell><cell r="F99"><v>12315</v></cell><cell r="G99"><v>4105</v></cell><cell r="H99"><v>41050</v></cell></row><row r="99"><cell r="J99"><v>24630</v></cell><cell r="K99"><v>12315</v></cell><cell r="L99"><v>4105</v></cell></row><row r="99"><cell r="N99"><v>30</v></cell></row><row r="99"><cell r="P99"><v>41050</v></cell></row><row r="100"><cell r="B100"><v>2118</v></cell><cell r="C100" t="str"><v>HARIKUMAR.S .</v></cell><cell r="D100" t="str"><v>Merchandise,Trivandrum</v></cell><cell r="E100"><v>9786</v></cell><cell r="F100"><v>4893</v></cell><cell r="G100"><v>1631</v></cell><cell r="H100"><v>16310</v></cell></row><row r="100"><cell r="J100"><v>9786</v></cell><cell r="K100"><v>4893</v></cell><cell r="L100"><v>1631</v></cell></row><row r="100"><cell r="N100"><v>30</v></cell></row><row r="100"><cell r="P100"><v>16310</v></cell></row><row r="101"><cell r="B101"><v>2193</v></cell><cell r="C101" t="str"><v>PARVATHY.K.S .</v></cell><cell r="D101" t="str"><v>Assistant Manager-Product</v></cell><cell r="E101"><v>15354</v></cell><cell r="F101"><v>7677</v></cell><cell r="G101"><v>2559</v></cell><cell r="H101"><v>25590</v></cell></row><row r="101"><cell r="J101"><v>15354</v></cell><cell r="K101"><v>7677</v></cell><cell r="L101"><v>2559</v></cell></row><row r="101"><cell r="N101"><v>30</v></cell></row><row r="101"><cell r="P101"><v>25590</v></cell></row><row r="102"><cell r="B102"><v>2195</v></cell><cell r="C102" t="str"><v>NIKESH.V.M .</v></cell><cell r="D102" t="str"><v>BRANCH ASSISTANT-TRICHUR</v></cell><cell r="E102"><v>8034</v></cell><cell r="F102"><v>4017</v></cell><cell r="G102"><v>1339</v></cell><cell r="H102"><v>13390</v></cell></row><row r="102"><cell r="J102"><v>8034</v></cell><cell r="K102"><v>4017</v></cell><cell r="L102"><v>1339</v></cell></row><row r="102"><cell r="N102"><v>30</v></cell></row><row r="102"><cell r="P102"><v>13390</v></cell></row><row r="103"><cell r="B103"><v>2243</v></cell><cell r="C103" t="str"><v>SUNITHA SURESH .</v></cell><cell r="D103" t="str"><v>Executive Secretary</v></cell><cell r="E103"><v>15660</v></cell><cell r="F103"><v>7830</v></cell><cell r="G103"><v>2610</v></cell><cell r="H103"><v>26100</v></cell></row><row r="103"><cell r="J103"><v>15660</v></cell><cell r="K103"><v>7830</v></cell><cell r="L103"><v>2610</v></cell></row><row r="103"><cell r="N103"><v>30</v></cell></row><row r="103"><cell r="P103"><v>26100</v></cell></row><row r="104"><cell r="B104"><v>2249</v></cell><cell r="C104" t="str"><v>PRADEEP.B.S .</v></cell><cell r="D104" t="str"><v>Integration: default posi</v></cell><cell r="E104"><v>10626</v></cell><cell r="F104"><v>5313</v></cell><cell r="G104"><v>1771</v></cell><cell r="H104"><v>17710</v></cell></row><row r="104"><cell r="J104"><v>708.4</v></cell><cell r="K104"><v>354.2</v></cell><cell r="L104"><v>118.07</v></cell></row><row r="104"><cell r="N104"><v>2</v></cell></row><row r="104"><cell r="P104"><v>1180.67</v></cell></row><row r="105"><cell r="B105"><v>2370</v></cell><cell r="C105" t="str"><v>SAJAN.M.SAMUEL .</v></cell><cell r="D105" t="str"><v>Regional Sales Manager-CP</v></cell><cell r="E105"><v>52278</v></cell><cell r="F105"><v>26139</v></cell><cell r="G105"><v>8713</v></cell><cell r="H105"><v>87130</v></cell></row><row r="105"><cell r="J105"><v>52278</v></cell><cell r="K105"><v>26139</v></cell><cell r="L105"><v>8713</v></cell></row><row r="105"><cell r="N105"><v>30</v></cell></row><row r="105"><cell r="P105"><v>87130</v></cell></row><row r="106"><cell r="B106"><v>2409</v></cell><cell r="C106" t="str"><v>D.KUMAR .</v></cell><cell r="D106" t="str"><v>Area Sales Manager-Chenna</v></cell><cell r="E106"><v>40830</v></cell><cell r="F106"><v>20415</v></cell><cell r="G106"><v>6805</v></cell><cell r="H106"><v>68050</v></cell></row><row r="106"><cell r="J106"><v>40830</v></cell><cell r="K106"><v>20415</v></cell><cell r="L106"><v>6805</v></cell></row><row r="106"><cell r="N106"><v>30</v></cell></row><row r="106"><cell r="P106"><v>68050</v></cell></row><row r="107"><cell r="B107"><v>2410</v></cell><cell r="C107" t="str"><v>M.DURAIRAJ .</v></cell><cell r="D107" t="str"><v>SENIOR TERRITORY SALES EX</v></cell><cell r="E107"><v>15522</v></cell><cell r="F107"><v>7761</v></cell><cell r="G107"><v>2587</v></cell><cell r="H107"><v>25870</v></cell></row><row r="107"><cell r="J107"><v>15522</v></cell><cell r="K107"><v>7761</v></cell><cell r="L107"><v>2587</v></cell></row><row r="107"><cell r="N107"><v>30</v></cell></row><row r="107"><cell r="P107"><v>25870</v></cell></row><row r="108"><cell r="B108"><v>2506</v></cell><cell r="C108" t="str"><v>T.SUDHAKAR .</v></cell><cell r="D108" t="str"><v>Territory Sales Executive</v></cell><cell r="E108"><v>14304</v></cell><cell r="F108"><v>7152</v></cell><cell r="G108"><v>2384</v></cell><cell r="H108"><v>23840</v></cell></row><row r="108"><cell r="J108"><v>14304</v></cell><cell r="K108"><v>7152</v></cell><cell r="L108"><v>2384</v></cell></row><row r="108"><cell r="N108"><v>30</v></cell></row><row r="108"><cell r="P108"><v>23840</v></cell></row><row r="109"><cell r="B109"><v>2534</v></cell><cell r="C109" t="str"><v>RAMESH.K.S .</v></cell><cell r="D109" t="str"><v>Jr.Executive-Logistics</v></cell><cell r="E109"><v>11496</v></cell><cell r="F109"><v>5748</v></cell><cell r="G109"><v>1916</v></cell><cell r="H109"><v>19160</v></cell></row><row r="109"><cell r="J109"><v>11496</v></cell><cell r="K109"><v>5748</v></cell><cell r="L109"><v>1916</v></cell></row><row r="109"><cell r="N109"><v>30</v></cell></row><row r="109"><cell r="P109"><v>19160</v></cell></row><row r="110"><cell r="B110"><v>2545</v></cell><cell r="C110" t="str"><v>BALAKRISHNAN NAIR.G .</v></cell><cell r="D110" t="str"><v>Depo incharge-Attingal</v></cell><cell r="E110"><v>11034</v></cell><cell r="F110"><v>5517</v></cell><cell r="G110"><v>1839</v></cell><cell r="H110"><v>18390</v></cell></row><row r="110"><cell r="J110"><v>11034</v></cell><cell r="K110"><v>5517</v></cell><cell r="L110"><v>1839</v></cell></row><row r="110"><cell r="N110"><v>30</v></cell></row><row r="110"><cell r="P110"><v>18390</v></cell></row><row r="111"><cell r="B111"><v>2583</v></cell><cell r="C111" t="str"><v>E.K.RAVI .</v></cell><cell r="D111" t="str"><v>WELDER</v></cell><cell r="E111"><v>16302</v></cell><cell r="F111"><v>8151</v></cell><cell r="G111"><v>2717</v></cell><cell r="H111"><v>27170</v></cell></row><row r="111"><cell r="J111"><v>16302</v></cell><cell r="K111"><v>8151</v></cell><cell r="L111"><v>2717</v></cell></row><row r="111"><cell r="N111"><v>30</v></cell></row><row r="111"><cell r="P111"><v>27170</v></cell></row><row r="112"><cell r="B112"><v>2631</v></cell><cell r="C112" t="str"><v>GOPIKUMAR.A.K .</v></cell><cell r="D112" t="str"><v>Executive-Security System</v></cell><cell r="E112"><v>14808</v></cell><cell r="F112"><v>7404</v></cell><cell r="G112"><v>2468</v></cell><cell r="H112"><v>24680</v></cell></row><row r="112"><cell r="J112"><v>14808</v></cell><cell r="K112"><v>7404</v></cell><cell r="L112"><v>2468</v></cell></row><row r="112"><cell r="N112"><v>30</v></cell></row><row r="112"><cell r="P112"><v>24680</v></cell></row><row r="113"><cell r="B113"><v>2678</v></cell><cell r="C113" t="str"><v>KARTHIKEYAN.M.P .</v></cell><cell r="D113" t="str"><v>Senior  Assistant-Stores</v></cell><cell r="E113"><v>8724</v></cell><cell r="F113"><v>4362</v></cell><cell r="G113"><v>1454</v></cell><cell r="H113"><v>14540</v></cell></row><row r="113"><cell r="J113"><v>8724</v></cell><cell r="K113"><v>4362</v></cell><cell r="L113"><v>1454</v></cell></row><row r="113"><cell r="N113"><v>30</v></cell></row><row r="113"><cell r="P113"><v>14540</v></cell></row><row r="114"><cell r="B114"><v>2679</v></cell><cell r="C114" t="str"><v>SREEDEVI.S.K .</v></cell><cell r="D114" t="str"><v>Depot In Charge in Muvatt</v></cell><cell r="E114"><v>9222</v></cell><cell r="F114"><v>4611</v></cell><cell r="G114"><v>1537</v></cell><cell r="H114"><v>15370</v></cell></row><row r="114"><cell r="J114"><v>9222</v></cell><cell r="K114"><v>4611</v></cell><cell r="L114"><v>1537</v></cell></row><row r="114"><cell r="N114"><v>30</v></cell></row><row r="114"><cell r="P114"><v>15370</v></cell></row><row r="115"><cell r="B115"><v>2692</v></cell><cell r="C115" t="str"><v>RIYASUDHEEN.B .</v></cell><cell r="D115" t="str"><v>Territory Sales Exe.-CPS</v></cell><cell r="E115"><v>10326</v></cell><cell r="F115"><v>5163</v></cell><cell r="G115"><v>1721</v></cell><cell r="H115"><v>17210</v></cell></row><row r="115"><cell r="J115"><v>10326</v></cell><cell r="K115"><v>5163</v></cell><cell r="L115"><v>1721</v></cell></row><row r="115"><cell r="N115"><v>30</v></cell></row><row r="115"><cell r="P115"><v>17210</v></cell></row><row r="116"><cell r="B116"><v>2693</v></cell><cell r="C116" t="str"><v>BALU.V.DAS .</v></cell><cell r="D116" t="str"><v>Territory Sales Executive</v></cell><cell r="E116"><v>8736</v></cell><cell r="F116"><v>4368</v></cell><cell r="G116"><v>1456</v></cell><cell r="H116"><v>14560</v></cell></row><row r="116"><cell r="J116"><v>8736</v></cell><cell r="K116"><v>4368</v></cell><cell r="L116"><v>1456</v></cell></row><row r="116"><cell r="N116"><v>30</v></cell></row><row r="116"><cell r="P116"><v>14560</v></cell></row><row r="117"><cell r="B117"><v>2694</v></cell><cell r="C117" t="str"><v>LINI.T.K .</v></cell><cell r="D117" t="str"><v>Executive Purchase</v></cell><cell r="E117"><v>12528</v></cell><cell r="F117"><v>6264</v></cell><cell r="G117"><v>2088</v></cell><cell r="H117"><v>20880</v></cell></row><row r="117"><cell r="J117"><v>12528</v></cell><cell r="K117"><v>6264</v></cell><cell r="L117"><v>2088</v></cell></row><row r="117"><cell r="N117"><v>30</v></cell></row><row r="117"><cell r="P117"><v>20880</v></cell></row><row r="118"><cell r="B118"><v>2702</v></cell><cell r="C118" t="str"><v>SUDHEESH.M.S .</v></cell><cell r="D118" t="str"><v>Assistant- Hygiene</v></cell><cell r="E118"><v>9000</v></cell><cell r="F118"><v>4500</v></cell><cell r="G118"><v>1500</v></cell><cell r="H118"><v>15000</v></cell></row><row r="118"><cell r="J118"><v>9000</v></cell><cell r="K118"><v>4500</v></cell><cell r="L118"><v>1500</v></cell></row><row r="118"><cell r="N118"><v>30</v></cell></row><row r="118"><cell r="P118"><v>15000</v></cell></row><row r="119"><cell r="B119"><v>2719</v></cell><cell r="C119" t="str"><v>GIRISHA.R .</v></cell><cell r="D119" t="str"><v>Area Sales Manager-Banglo</v></cell><cell r="E119"><v>39000</v></cell><cell r="F119"><v>19500</v></cell><cell r="G119"><v>6500</v></cell><cell r="H119"><v>65000</v></cell></row><row r="119"><cell r="J119"><v>39000</v></cell><cell r="K119"><v>19500</v></cell><cell r="L119"><v>6500</v></cell></row><row r="119"><cell r="N119"><v>30</v></cell></row><row r="119"><cell r="P119"><v>65000</v></cell></row><row r="120"><cell r="B120"><v>2784</v></cell><cell r="C120" t="str"><v>SHIJEESH.P.M .</v></cell><cell r="D120" t="str"><v>EXECUTIVE-MATERIALS</v></cell><cell r="E120"><v>12138</v></cell><cell r="F120"><v>6069</v></cell><cell r="G120"><v>2023</v></cell><cell r="H120"><v>20230</v></cell></row><row r="120"><cell r="J120"><v>12138</v></cell><cell r="K120"><v>6069</v></cell><cell r="L120"><v>2023</v></cell></row><row r="120"><cell r="N120"><v>30</v></cell></row><row r="120"><cell r="P120"><v>20230</v></cell></row><row r="121"><cell r="B121"><v>2791</v></cell><cell r="C121" t="str"><v>NOBIL.P.T .</v></cell><cell r="D121" t="str"><v>Territory Sales Exe.Bulk,</v></cell><cell r="E121"><v>10266</v></cell><cell r="F121"><v>5133</v></cell><cell r="G121"><v>1711</v></cell><cell r="H121"><v>17110</v></cell></row><row r="121"><cell r="J121"><v>10266</v></cell><cell r="K121"><v>5133</v></cell><cell r="L121"><v>1711</v></cell></row><row r="121"><cell r="N121"><v>30</v></cell></row><row r="121"><cell r="P121"><v>17110</v></cell></row><row r="122"><cell r="B122"><v>2798</v></cell><cell r="C122" t="str"><v>BYJU PETER .</v></cell><cell r="D122" t="str"><v>Sr.Supervisor-Security Sy</v></cell><cell r="E122"><v>13518</v></cell><cell r="F122"><v>6759</v></cell><cell r="G122"><v>2253</v></cell><cell r="H122"><v>22530</v></cell></row><row r="122"><cell r="J122"><v>13518</v></cell><cell r="K122"><v>6759</v></cell><cell r="L122"><v>2253</v></cell></row><row r="122"><cell r="N122"><v>30</v></cell></row><row r="122"><cell r="P122"><v>22530</v></cell></row><row r="123"><cell r="B123"><v>2802</v></cell><cell r="C123" t="str"><v>SIVARAJAN.A.A .</v></cell><cell r="D123" t="str"><v>ELECTRICIAN</v></cell><cell r="E123"><v>11712</v></cell><cell r="F123"><v>5856</v></cell><cell r="G123"><v>1952</v></cell><cell r="H123"><v>19520</v></cell></row><row r="123"><cell r="J123"><v>11712</v></cell><cell r="K123"><v>5856</v></cell><cell r="L123"><v>1952</v></cell></row><row r="123"><cell r="N123"><v>30</v></cell></row><row r="123"><cell r="P123"><v>19520</v></cell></row><row r="124"><cell r="B124"><v>2809</v></cell><cell r="C124" t="str"><v>VINAYA PRASAD.M.P .</v></cell><cell r="D124" t="str"><v>AREA SALES MANAGER</v></cell><cell r="E124"><v>39000</v></cell><cell r="F124"><v>19500</v></cell><cell r="G124"><v>6500</v></cell><cell r="H124"><v>65000</v></cell></row><row r="124"><cell r="J124"><v>39000</v></cell><cell r="K124"><v>19500</v></cell><cell r="L124"><v>6500</v></cell></row><row r="124"><cell r="N124"><v>30</v></cell></row><row r="124"><cell r="P124"><v>65000</v></cell></row><row r="125"><cell r="B125"><v>2824</v></cell><cell r="C125" t="str"><v>SANDEEP.P.S .</v></cell><cell r="D125" t="str"><v>Jr.Executive-Q.A</v></cell><cell r="E125"><v>9900</v></cell><cell r="F125"><v>4950</v></cell><cell r="G125"><v>1650</v></cell><cell r="H125"><v>16500</v></cell></row><row r="125"><cell r="J125"><v>9900</v></cell><cell r="K125"><v>4950</v></cell><cell r="L125"><v>1650</v></cell></row><row r="125"><cell r="N125"><v>30</v></cell></row><row r="125"><cell r="P125"><v>16500</v></cell></row><row r="126"><cell r="B126"><v>2827</v></cell><cell r="C126" t="str"><v>REMANI.K.N .</v></cell><cell r="D126" t="str"><v>Manager(Engineering Purch</v></cell><cell r="E126"><v>24702</v></cell><cell r="F126"><v>12351</v></cell><cell r="G126"><v>4117</v></cell><cell r="H126"><v>41170</v></cell></row><row r="126"><cell r="J126"><v>24702</v></cell><cell r="K126"><v>12351</v></cell><cell r="L126"><v>4117</v></cell></row><row r="126"><cell r="N126"><v>30</v></cell></row><row r="126"><cell r="P126"><v>41170</v></cell></row><row r="127"><cell r="B127"><v>2839</v></cell><cell r="C127" t="str"><v>RAJESH KUMAR.R .</v></cell><cell r="D127" t="str"><v>Territory Sales Executive</v></cell><cell r="E127"><v>11166</v></cell><cell r="F127"><v>5583</v></cell><cell r="G127"><v>1861</v></cell><cell r="H127"><v>18610</v></cell></row><row r="127"><cell r="J127"><v>11166</v></cell><cell r="K127"><v>5583</v></cell><cell r="L127"><v>1861</v></cell></row><row r="127"><cell r="N127"><v>30</v></cell></row><row r="127"><cell r="P127"><v>18610</v></cell></row><row r="128"><cell r="B128"><v>2847</v></cell><cell r="C128" t="str"><v>SUDHEESH KUMAR.M.K .</v></cell><cell r="D128" t="str"><v>Territory Sales Executive</v></cell><cell r="E128"><v>12378</v></cell><cell r="F128"><v>6189</v></cell><cell r="G128"><v>2063</v></cell><cell r="H128"><v>20630</v></cell></row><row r="128"><cell r="J128"><v>12378</v></cell><cell r="K128"><v>6189</v></cell><cell r="L128"><v>2063</v></cell></row><row r="128"><cell r="N128"><v>30</v></cell></row><row r="128"><cell r="P128"><v>20630</v></cell></row><row r="129"><cell r="B129"><v>2869</v></cell><cell r="C129" t="str"><v>DEEPTHY.V.S .</v></cell><cell r="D129" t="str"><v>Sr.Executive- Internal Au</v></cell><cell r="E129"><v>13506</v></cell><cell r="F129"><v>6753</v></cell><cell r="G129"><v>2251</v></cell><cell r="H129"><v>22510</v></cell></row><row r="129"><cell r="J129"><v>13506</v></cell><cell r="K129"><v>6753</v></cell><cell r="L129"><v>2251</v></cell></row><row r="129"><cell r="N129"><v>30</v></cell></row><row r="129"><cell r="P129"><v>22510</v></cell></row><row r="130"><cell r="B130"><v>2871</v></cell><cell r="C130" t="str"><v>MATHEWS DEVASIA .</v></cell><cell r="D130" t="str"><v>Territory Sales Executive</v></cell><cell r="E130"><v>9234</v></cell><cell r="F130"><v>4617</v></cell><cell r="G130"><v>1539</v></cell><cell r="H130"><v>15390</v></cell></row><row r="130"><cell r="J130"><v>9234</v></cell><cell r="K130"><v>4617</v></cell><cell r="L130"><v>1539</v></cell></row><row r="130"><cell r="N130"><v>30</v></cell></row><row r="130"><cell r="P130"><v>15390</v></cell></row><row r="131"><cell r="B131"><v>2925</v></cell><cell r="C131" t="str"><v>AJITH.A.G .</v></cell><cell r="D131" t="str"><v>Territory Sales Manager</v></cell><cell r="E131"><v>15183</v></cell><cell r="F131"><v>7591.5</v></cell><cell r="G131"><v>2530.5</v></cell><cell r="H131"><v>25305</v></cell></row><row r="131"><cell r="J131"><v>15183</v></cell><cell r="K131"><v>7591.5</v></cell><cell r="L131"><v>2530.5</v></cell></row><row r="131"><cell r="N131"><v>30</v></cell></row><row r="131"><cell r="P131"><v>25305</v></cell></row><row r="132"><cell r="B132"><v>2929</v></cell><cell r="C132" t="str"><v>SUJATHA VENUGOPAL .</v></cell><cell r="D132" t="str"><v>Jr.Executive-Payments</v></cell><cell r="E132"><v>9468</v></cell><cell r="F132"><v>4734</v></cell><cell r="G132"><v>1578</v></cell><cell r="H132"><v>15780</v></cell></row><row r="132"><cell r="J132"><v>9468</v></cell><cell r="K132"><v>4734</v></cell><cell r="L132"><v>1578</v></cell></row><row r="132"><cell r="N132"><v>30</v></cell></row><row r="132"><cell r="P132"><v>15780</v></cell></row><row r="133"><cell r="B133"><v>2961</v></cell><cell r="C133" t="str"><v>RANJITH.K.S .</v></cell><cell r="D133" t="str"><v>Merchandiser</v></cell><cell r="E133"><v>7626</v></cell><cell r="F133"><v>3813</v></cell><cell r="G133"><v>1271</v></cell><cell r="H133"><v>12710</v></cell></row><row r="133"><cell r="J133"><v>7626</v></cell><cell r="K133"><v>3813</v></cell><cell r="L133"><v>1271</v></cell></row><row r="133"><cell r="N133"><v>30</v></cell></row><row r="133"><cell r="P133"><v>12710</v></cell></row><row r="134"><cell r="B134"><v>2985</v></cell><cell r="C134" t="str"><v>RAMAKRISHNAN.C .</v></cell><cell r="D134" t="str"><v>Security Supervisor</v></cell><cell r="E134"><v>9888</v></cell><cell r="F134"><v>4944</v></cell><cell r="G134"><v>1648</v></cell><cell r="H134"><v>16480</v></cell></row><row r="134"><cell r="J134"><v>3955.2</v></cell><cell r="K134"><v>1977.6</v></cell><cell r="L134"><v>659.2</v></cell></row><row r="134"><cell r="N134"><v>12</v></cell><cell r="O134"><v>18</v></cell><cell r="P134"><v>6592</v></cell></row><row r="135"><cell r="B135"><v>2988</v></cell><cell r="C135" t="str"><v>VIJITH THAIKKATTIL .V .</v></cell><cell r="D135" t="str"><v>Assistant-Despatch</v></cell><cell r="E135"><v>8460</v></cell><cell r="F135"><v>4230</v></cell><cell r="G135"><v>1410</v></cell><cell r="H135"><v>14100</v></cell></row><row r="135"><cell r="J135"><v>5640</v></cell><cell r="K135"><v>2820</v></cell><cell r="L135"><v>940</v></cell></row><row r="135"><cell r="N135"><v>20</v></cell><cell r="O135"><v>10</v></cell><cell r="P135"><v>9400</v></cell></row><row r="136"><cell r="B136"><v>3005</v></cell><cell r="C136" t="str"><v>P.GOPI .</v></cell><cell r="D136" t="str"><v>Area Sales Manager-Chitto</v></cell><cell r="E136"><v>29004</v></cell><cell r="F136"><v>14502</v></cell><cell r="G136"><v>4834</v></cell><cell r="H136"><v>48340</v></cell></row><row r="136"><cell r="J136"><v>29004</v></cell><cell r="K136"><v>14502</v></cell><cell r="L136"><v>4834</v></cell></row><row r="136"><cell r="N136"><v>30</v></cell></row><row r="136"><cell r="P136"><v>48340</v></cell></row><row r="137"><cell r="B137"><v>3006</v></cell><cell r="C137" t="str"><v>SENTHIL KUMAR.P .</v></cell><cell r="D137" t="str"><v>Area Sales Manager-Villup</v></cell><cell r="E137"><v>29244</v></cell><cell r="F137"><v>14622</v></cell><cell r="G137"><v>4874</v></cell><cell r="H137"><v>48740</v></cell></row><row r="137"><cell r="J137"><v>29244</v></cell><cell r="K137"><v>14622</v></cell><cell r="L137"><v>4874</v></cell></row><row r="137"><cell r="N137"><v>30</v></cell></row><row r="137"><cell r="P137"><v>48740</v></cell></row><row r="138"><cell r="B138"><v>3009</v></cell><cell r="C138" t="str"><v>ARULMOZHI.S .</v></cell><cell r="D138" t="str"><v>Territory Sales Executive</v></cell><cell r="E138"><v>13194</v></cell><cell r="F138"><v>6597</v></cell><cell r="G138"><v>2199</v></cell><cell r="H138"><v>21990</v></cell></row><row r="138"><cell r="J138"><v>13194</v></cell><cell r="K138"><v>6597</v></cell><cell r="L138"><v>2199</v></cell></row><row r="138"><cell r="N138"><v>30</v></cell></row><row r="138"><cell r="P138"><v>21990</v></cell></row><row r="139"><cell r="B139"><v>3010</v></cell><cell r="C139" t="str"><v>SUDHEESH.M.K .</v></cell><cell r="D139" t="str"><v>Supervisor-Security Syste</v></cell><cell r="E139"><v>10458</v></cell><cell r="F139"><v>5229</v></cell><cell r="G139"><v>1743</v></cell><cell r="H139"><v>17430</v></cell></row><row r="139"><cell r="J139"><v>10458</v></cell><cell r="K139"><v>5229</v></cell><cell r="L139"><v>1743</v></cell></row><row r="139"><cell r="N139"><v>30</v></cell></row><row r="139"><cell r="P139"><v>17430</v></cell></row><row r="140"><cell r="B140"><v>3056</v></cell><cell r="C140" t="str"><v>SIMI.P.V .</v></cell><cell r="D140" t="str"><v>Assistant Manager-I.T</v></cell><cell r="E140"><v>21582</v></cell><cell r="F140"><v>10791</v></cell><cell r="G140"><v>3597</v></cell><cell r="H140"><v>35970</v></cell></row><row r="140"><cell r="J140"><v>21582</v></cell><cell r="K140"><v>10791</v></cell><cell r="L140"><v>3597</v></cell></row><row r="140"><cell r="N140"><v>30</v></cell></row><row r="140"><cell r="P140"><v>35970</v></cell></row><row r="141"><cell r="B141"><v>3059</v></cell><cell r="C141" t="str"><v>RAMESH.S .</v></cell><cell r="D141" t="str"><v>Territory Sales Executive</v></cell><cell r="E141"><v>11214</v></cell><cell r="F141"><v>5607</v></cell><cell r="G141"><v>1869</v></cell><cell r="H141"><v>18690</v></cell></row><row r="141"><cell r="J141"><v>11214</v></cell><cell r="K141"><v>5607</v></cell><cell r="L141"><v>1869</v></cell></row><row r="141"><cell r="N141"><v>30</v></cell></row><row r="141"><cell r="P141"><v>18690</v></cell></row><row r="142"><cell r="B142"><v>3092</v></cell><cell r="C142" t="str"><v>DINESH KUMAR.C .</v></cell><cell r="D142" t="str"><v>SENIOR TERRITORY SALES EX</v></cell><cell r="E142"><v>15348</v></cell><cell r="F142"><v>7674</v></cell><cell r="G142"><v>2558</v></cell><cell r="H142"><v>25580</v></cell></row><row r="142"><cell r="J142"><v>15348</v></cell><cell r="K142"><v>7674</v></cell><cell r="L142"><v>2558</v></cell></row><row r="142"><cell r="N142"><v>30</v></cell></row><row r="142"><cell r="P142"><v>25580</v></cell></row><row r="143"><cell r="B143"><v>3109</v></cell><cell r="C143" t="str"><v>AMAL SURESH .</v></cell><cell r="D143" t="str"><v>Jr.Executive-Internal Aud</v></cell><cell r="E143"><v>9942</v></cell><cell r="F143"><v>4971</v></cell><cell r="G143"><v>1657</v></cell><cell r="H143"><v>16570</v></cell></row><row r="143"><cell r="J143"><v>9942</v></cell><cell r="K143"><v>4971</v></cell><cell r="L143"><v>1657</v></cell></row><row r="143"><cell r="N143"><v>30</v></cell></row><row r="143"><cell r="P143"><v>16570</v></cell></row><row r="144"><cell r="B144"><v>3114</v></cell><cell r="C144" t="str"><v>SREEKANTH.M.S .</v></cell><cell r="D144" t="str"><v>Merchandiser-Ernakulam</v></cell><cell r="E144"><v>8400</v></cell><cell r="F144"><v>4200</v></cell><cell r="G144"><v>1400</v></cell><cell r="H144"><v>14000</v></cell></row><row r="144"><cell r="J144"><v>8400</v></cell><cell r="K144"><v>4200</v></cell><cell r="L144"><v>1400</v></cell></row><row r="144"><cell r="N144"><v>30</v></cell></row><row r="144"><cell r="P144"><v>14000</v></cell></row><row r="145"><cell r="B145"><v>3126</v></cell><cell r="C145" t="str"><v>BABURAJAN.K.P .</v></cell><cell r="D145" t="str"><v>FABRICATOR</v></cell><cell r="E145"><v>14172</v></cell><cell r="F145"><v>7086</v></cell><cell r="G145"><v>2362</v></cell><cell r="H145"><v>23620</v></cell></row><row r="145"><cell r="J145"><v>14172</v></cell><cell r="K145"><v>7086</v></cell><cell r="L145"><v>2362</v></cell></row><row r="145"><cell r="N145"><v>30</v></cell></row><row r="145"><cell r="P145"><v>23620</v></cell></row><row r="146"><cell r="B146"><v>3146</v></cell><cell r="C146" t="str"><v>UNMESH.P.U .</v></cell><cell r="D146" t="str"><v>Driver</v></cell><cell r="E146"><v>13026</v></cell><cell r="F146"><v>6513</v></cell><cell r="G146"><v>2171</v></cell><cell r="H146"><v>21710</v></cell></row><row r="146"><cell r="J146"><v>13026</v></cell><cell r="K146"><v>6513</v></cell><cell r="L146"><v>2171</v></cell></row><row r="146"><cell r="N146"><v>30</v></cell></row><row r="146"><cell r="P146"><v>21710</v></cell></row><row r="147"><cell r="B147"><v>3205</v></cell><cell r="C147" t="str"><v>BINOY JOSEPH .</v></cell><cell r="D147" t="str"><v>Territory Sales Executive</v></cell><cell r="E147"><v>8934</v></cell><cell r="F147"><v>4467</v></cell><cell r="G147"><v>1489</v></cell><cell r="H147"><v>14890</v></cell></row><row r="147"><cell r="J147"><v>8934</v></cell><cell r="K147"><v>4467</v></cell><cell r="L147"><v>1489</v></cell></row><row r="147"><cell r="N147"><v>30</v></cell></row><row r="147"><cell r="P147"><v>14890</v></cell></row><row r="148"><cell r="B148"><v>3220</v></cell><cell r="C148" t="str"><v>MURUKADASAN.V.D .</v></cell><cell r="D148" t="str"><v>Jr.Executive-Food Safety</v></cell><cell r="E148"><v>11364</v></cell><cell r="F148"><v>5682</v></cell><cell r="G148"><v>1894</v></cell><cell r="H148"><v>18940</v></cell></row><row r="148"><cell r="J148"><v>11364</v></cell><cell r="K148"><v>5682</v></cell><cell r="L148"><v>1894</v></cell></row><row r="148"><cell r="N148"><v>30</v></cell></row><row r="148"><cell r="P148"><v>18940</v></cell></row><row r="149"><cell r="B149"><v>3221</v></cell><cell r="C149" t="str"><v>THIRUMALAI KUMARARN.V .</v></cell><cell r="D149" t="str"><v>SENIOR TERRITORY SALES EX</v></cell><cell r="E149"><v>10836</v></cell><cell r="F149"><v>5418</v></cell><cell r="G149"><v>1806</v></cell><cell r="H149"><v>18060</v></cell></row><row r="149"><cell r="J149"><v>10836</v></cell><cell r="K149"><v>5418</v></cell><cell r="L149"><v>1806</v></cell></row><row r="149"><cell r="N149"><v>30</v></cell></row><row r="149"><cell r="P149"><v>18060</v></cell></row><row r="150"><cell r="B150"><v>3229</v></cell><cell r="C150" t="str"><v>VINEETH.K.V .</v></cell><cell r="D150" t="str"><v>ELECTRICIAN</v></cell><cell r="E150"><v>9528</v></cell><cell r="F150"><v>4764</v></cell><cell r="G150"><v>1588</v></cell><cell r="H150"><v>15880</v></cell></row><row r="150"><cell r="J150"><v>9528</v></cell><cell r="K150"><v>4764</v></cell><cell r="L150"><v>1588</v></cell></row><row r="150"><cell r="N150"><v>30</v></cell></row><row r="150"><cell r="P150"><v>15880</v></cell></row><row r="151"><cell r="B151"><v>3266</v></cell><cell r="C151" t="str"><v>ANJANA.K .</v></cell><cell r="D151" t="str"><v>Assistant -Store</v></cell><cell r="E151"><v>7020</v></cell><cell r="F151"><v>3510</v></cell><cell r="G151"><v>1170</v></cell><cell r="H151"><v>11700</v></cell></row><row r="151"><cell r="J151"><v>7020</v></cell><cell r="K151"><v>3510</v></cell><cell r="L151"><v>1170</v></cell></row><row r="151"><cell r="N151"><v>30</v></cell></row><row r="151"><cell r="P151"><v>11700</v></cell></row><row r="152"><cell r="B152"><v>3299</v></cell><cell r="C152" t="str"><v>RAKESH.P.R .</v></cell><cell r="D152" t="str"><v>Merchandiser</v></cell><cell r="E152"><v>8352</v></cell><cell r="F152"><v>4176</v></cell><cell r="G152"><v>1392</v></cell><cell r="H152"><v>13920</v></cell></row><row r="152"><cell r="J152"><v>8352</v></cell><cell r="K152"><v>4176</v></cell><cell r="L152"><v>1392</v></cell></row><row r="152"><cell r="N152"><v>30</v></cell></row><row r="152"><cell r="P152"><v>13920</v></cell></row><row r="153"><cell r="B153"><v>3301</v></cell><cell r="C153" t="str"><v>ANANDAKRISHNAN.S .</v></cell><cell r="D153" t="str"><v>Senior Manager-Food S afe</v></cell><cell r="E153"><v>61578</v></cell><cell r="F153"><v>30789</v></cell><cell r="G153"><v>10263</v></cell><cell r="H153"><v>102630</v></cell></row><row r="153"><cell r="J153"><v>61578</v></cell><cell r="K153"><v>30789</v></cell><cell r="L153"><v>10263</v></cell></row><row r="153"><cell r="N153"><v>30</v></cell></row><row r="153"><cell r="P153"><v>102630</v></cell></row><row r="154"><cell r="B154"><v>3312</v></cell><cell r="C154" t="str"><v>SANDEEP.P.V .</v></cell><cell r="D154" t="str"><v>Jr.Executive-Accounts</v></cell><cell r="E154"><v>13158</v></cell><cell r="F154"><v>6579</v></cell><cell r="G154"><v>2193</v></cell><cell r="H154"><v>21930</v></cell></row><row r="154"><cell r="J154"><v>13158</v></cell><cell r="K154"><v>6579</v></cell><cell r="L154"><v>2193</v></cell></row><row r="154"><cell r="N154"><v>30</v></cell></row><row r="154"><cell r="P154"><v>21930</v></cell></row><row r="155"><cell r="B155"><v>3314</v></cell><cell r="C155" t="str"><v>ANTONY.K.G .</v></cell><cell r="D155" t="str"><v>Assistant -Store</v></cell><cell r="E155"><v>8514</v></cell><cell r="F155"><v>4257</v></cell><cell r="G155"><v>1419</v></cell><cell r="H155"><v>14190</v></cell></row><row r="155"><cell r="J155"><v>8514</v></cell><cell r="K155"><v>4257</v></cell><cell r="L155"><v>1419</v></cell></row><row r="155"><cell r="N155"><v>30</v></cell></row><row r="155"><cell r="P155"><v>14190</v></cell></row><row r="156"><cell r="B156"><v>3329</v></cell><cell r="C156" t="str"><v>K.BALAJI .</v></cell><cell r="D156" t="str"><v>Territory Sales Executive</v></cell><cell r="E156"><v>11298</v></cell><cell r="F156"><v>5649</v></cell><cell r="G156"><v>1883</v></cell><cell r="H156"><v>18830</v></cell></row><row r="156"><cell r="J156"><v>11298</v></cell><cell r="K156"><v>5649</v></cell><cell r="L156"><v>1883</v></cell></row><row r="156"><cell r="N156"><v>30</v></cell></row><row r="156"><cell r="P156"><v>18830</v></cell></row><row r="157"><cell r="B157"><v>3330</v></cell><cell r="C157" t="str"><v>SREEJITH.S.NAIR .</v></cell><cell r="D157" t="str"><v>Territory Sales Manager</v></cell><cell r="E157"><v>15450</v></cell><cell r="F157"><v>7725</v></cell><cell r="G157"><v>2575</v></cell><cell r="H157"><v>25750</v></cell></row><row r="157"><cell r="J157"><v>15450</v></cell><cell r="K157"><v>7725</v></cell><cell r="L157"><v>2575</v></cell></row><row r="157"><cell r="N157"><v>30</v></cell></row><row r="157"><cell r="P157"><v>25750</v></cell></row><row r="158"><cell r="B158"><v>3332</v></cell><cell r="C158" t="str"><v>S.RANGARAJAN .</v></cell><cell r="D158" t="str"><v>Dy.Manager-Production</v></cell><cell r="E158"><v>32694</v></cell><cell r="F158"><v>16347</v></cell><cell r="G158"><v>5449</v></cell><cell r="H158"><v>54490</v></cell></row><row r="158"><cell r="J158"><v>32694</v></cell><cell r="K158"><v>16347</v></cell><cell r="L158"><v>5449</v></cell></row><row r="158"><cell r="N158"><v>30</v></cell></row><row r="158"><cell r="P158"><v>54490</v></cell></row><row r="159"><cell r="B159"><v>3335</v></cell><cell r="C159" t="str"><v>P.K.SELVAKUMAR .</v></cell><cell r="D159" t="str"><v>Territory Sales Executive</v></cell><cell r="E159"><v>10188</v></cell><cell r="F159"><v>5094</v></cell><cell r="G159"><v>1698</v></cell><cell r="H159"><v>16980</v></cell></row><row r="159"><cell r="J159"><v>10188</v></cell><cell r="K159"><v>5094</v></cell><cell r="L159"><v>1698</v></cell></row><row r="159"><cell r="N159"><v>30</v></cell></row><row r="159"><cell r="P159"><v>16980</v></cell></row><row r="160"><cell r="B160"><v>3343</v></cell><cell r="C160" t="str"><v>MITHUN.K.NAIR .</v></cell><cell r="D160" t="str"><v>EXECUTIVE - ACCOUNTS</v></cell><cell r="E160"><v>14514</v></cell><cell r="F160"><v>7257</v></cell><cell r="G160"><v>2419</v></cell><cell r="H160"><v>24190</v></cell></row><row r="160"><cell r="J160"><v>14514</v></cell><cell r="K160"><v>7257</v></cell><cell r="L160"><v>2419</v></cell></row><row r="160"><cell r="N160"><v>30</v></cell></row><row r="160"><cell r="P160"><v>24190</v></cell></row><row r="161"><cell r="B161"><v>3344</v></cell><cell r="C161" t="str"><v>MANIKANDAN.B .</v></cell><cell r="D161" t="str"><v>Assistant - Stores</v></cell><cell r="E161"><v>7188</v></cell><cell r="F161"><v>3594</v></cell><cell r="G161"><v>1198</v></cell><cell r="H161"><v>11980</v></cell></row><row r="161"><cell r="J161"><v>7188</v></cell><cell r="K161"><v>3594</v></cell><cell r="L161"><v>1198</v></cell></row><row r="161"><cell r="N161"><v>30</v></cell></row><row r="161"><cell r="P161"><v>11980</v></cell></row><row r="162"><cell r="B162"><v>3347</v></cell><cell r="C162" t="str"><v>G.SAMPATH .</v></cell><cell r="D162" t="str"><v>Territory Sales Executive</v></cell><cell r="E162"><v>11568</v></cell><cell r="F162"><v>5784</v></cell><cell r="G162"><v>1928</v></cell><cell r="H162"><v>19280</v></cell></row><row r="162"><cell r="J162"><v>11568</v></cell><cell r="K162"><v>5784</v></cell><cell r="L162"><v>1928</v></cell></row><row r="162"><cell r="N162"><v>30</v></cell></row><row r="162"><cell r="P162"><v>19280</v></cell></row><row r="163"><cell r="B163"><v>3365</v></cell><cell r="C163" t="str"><v>SAYIKUMAR.M.R .</v></cell><cell r="D163" t="str"><v>Territory Sales Executive</v></cell><cell r="E163"><v>11268</v></cell><cell r="F163"><v>5634</v></cell><cell r="G163"><v>1878</v></cell><cell r="H163"><v>18780</v></cell></row><row r="163"><cell r="J163"><v>11268</v></cell><cell r="K163"><v>5634</v></cell><cell r="L163"><v>1878</v></cell></row><row r="163"><cell r="N163"><v>30</v></cell></row><row r="163"><cell r="P163"><v>18780</v></cell></row><row r="164"><cell r="B164"><v>3378</v></cell><cell r="C164" t="str"><v>SAIDALAVI KOYA.K.V .</v></cell><cell r="D164" t="str"><v>Territory Sales Executive</v></cell><cell r="E164"><v>10632</v></cell><cell r="F164"><v>5316</v></cell><cell r="G164"><v>1772</v></cell><cell r="H164"><v>17720</v></cell></row><row r="164"><cell r="J164"><v>10632</v></cell><cell r="K164"><v>5316</v></cell><cell r="L164"><v>1772</v></cell></row><row r="164"><cell r="N164"><v>30</v></cell></row><row r="164"><cell r="P164"><v>17720</v></cell></row><row r="165"><cell r="B165"><v>3379</v></cell><cell r="C165" t="str"><v>SAMPATH KUMAR.N .</v></cell><cell r="D165" t="str"><v>Territory Sales Executive</v></cell><cell r="E165"><v>11556</v></cell><cell r="F165"><v>5778</v></cell><cell r="G165"><v>1926</v></cell><cell r="H165"><v>19260</v></cell></row><row r="165"><cell r="J165"><v>11556</v></cell><cell r="K165"><v>5778</v></cell><cell r="L165"><v>1926</v></cell></row><row r="165"><cell r="N165"><v>30</v></cell></row><row r="165"><cell r="P165"><v>19260</v></cell></row><row r="166"><cell r="B166"><v>3380</v></cell><cell r="C166" t="str"><v>ANUSAGAR.A .</v></cell><cell r="D166" t="str"><v>Assistant -Accounts</v></cell><cell r="E166"><v>8400</v></cell><cell r="F166"><v>4200</v></cell><cell r="G166"><v>1400</v></cell><cell r="H166"><v>14000</v></cell></row><row r="166"><cell r="J166"><v>8400</v></cell><cell r="K166"><v>4200</v></cell><cell r="L166"><v>1400</v></cell></row><row r="166"><cell r="N166"><v>30</v></cell></row><row r="166"><cell r="P166"><v>14000</v></cell></row><row r="167"><cell r="B167"><v>3384</v></cell><cell r="C167" t="str"><v>SHAJI.P.K .</v></cell><cell r="D167" t="str"><v>Territory Sales Executive</v></cell><cell r="E167"><v>10542</v></cell><cell r="F167"><v>5271</v></cell><cell r="G167"><v>1757</v></cell><cell r="H167"><v>17570</v></cell></row><row r="167"><cell r="J167"><v>10542</v></cell><cell r="K167"><v>5271</v></cell><cell r="L167"><v>1757</v></cell></row><row r="167"><cell r="N167"><v>30</v></cell></row><row r="167"><cell r="P167"><v>17570</v></cell></row><row r="168"><cell r="B168"><v>3409</v></cell><cell r="C168" t="str"><v>ANSAR.B .</v></cell><cell r="D168" t="str"><v>Sales Man-Bulk</v></cell><cell r="E168"><v>8106</v></cell><cell r="F168"><v>4053</v></cell><cell r="G168"><v>1351</v></cell><cell r="H168"><v>13510</v></cell></row><row r="168"><cell r="J168"><v>8106</v></cell><cell r="K168"><v>4053</v></cell><cell r="L168"><v>1351</v></cell></row><row r="168"><cell r="N168"><v>30</v></cell></row><row r="168"><cell r="P168"><v>13510</v></cell></row><row r="169"><cell r="B169"><v>3443</v></cell><cell r="C169" t="str"><v>FINTO PHILIPPOSE .</v></cell><cell r="D169" t="str"><v>FABRICATOR</v></cell><cell r="E169"><v>7566</v></cell><cell r="F169"><v>3783</v></cell><cell r="G169"><v>1261</v></cell><cell r="H169"><v>12610</v></cell></row><row r="169"><cell r="J169"><v>3026.4</v></cell><cell r="K169"><v>1513.2</v></cell><cell r="L169"><v>504.4</v></cell></row><row r="169"><cell r="N169"><v>12</v></cell><cell r="O169"><v>18</v></cell><cell r="P169"><v>5044</v></cell></row><row r="170"><cell r="B170"><v>3479</v></cell><cell r="C170" t="str"><v>SURENDRANATHAN.C .</v></cell><cell r="D170" t="str"><v>FABRICATOR</v></cell><cell r="E170"><v>13374</v></cell><cell r="F170"><v>6687</v></cell><cell r="G170"><v>2229</v></cell><cell r="H170"><v>22290</v></cell></row><row r="170"><cell r="J170"><v>13374</v></cell><cell r="K170"><v>6687</v></cell><cell r="L170"><v>2229</v></cell></row><row r="170"><cell r="N170"><v>30</v></cell></row><row r="170"><cell r="P170"><v>22290</v></cell></row><row r="171"><cell r="B171"><v>3481</v></cell><cell r="C171" t="str"><v>PERUMAL.S .</v></cell><cell r="D171" t="str"><v>Senior  Assistant-Stores</v></cell><cell r="E171"><v>8700</v></cell><cell r="F171"><v>4350</v></cell><cell r="G171"><v>1450</v></cell><cell r="H171"><v>14500</v></cell></row><row r="171"><cell r="J171"><v>8700</v></cell><cell r="K171"><v>4350</v></cell><cell r="L171"><v>1450</v></cell></row><row r="171"><cell r="N171"><v>30</v></cell></row><row r="171"><cell r="P171"><v>14500</v></cell></row><row r="172"><cell r="B172"><v>3508</v></cell><cell r="C172" t="str"><v>NOBIL.T.N .</v></cell><cell r="D172" t="str"><v>Sr.Executive- Internal Au</v></cell><cell r="E172"><v>17814</v></cell><cell r="F172"><v>8907</v></cell><cell r="G172"><v>2969</v></cell><cell r="H172"><v>29690</v></cell></row><row r="172"><cell r="J172"><v>17814</v></cell><cell r="K172"><v>8907</v></cell><cell r="L172"><v>2969</v></cell></row><row r="172"><cell r="N172"><v>30</v></cell></row><row r="172"><cell r="P172"><v>29690</v></cell></row><row r="173"><cell r="B173"><v>3515</v></cell><cell r="C173" t="str"><v>SUDHEESH KUMAR.T.S .</v></cell><cell r="D173" t="str"><v>ELECTRICIAN</v></cell><cell r="E173"><v>6528</v></cell><cell r="F173"><v>3264</v></cell><cell r="G173"><v>1088</v></cell><cell r="H173"><v>10880</v></cell></row><row r="173"><cell r="J173"><v>6528</v></cell><cell r="K173"><v>3264</v></cell><cell r="L173"><v>1088</v></cell></row><row r="173"><cell r="N173"><v>30</v></cell></row><row r="173"><cell r="P173"><v>10880</v></cell></row><row r="174"><cell r="B174"><v>3519</v></cell><cell r="C174" t="str"><v>VISHNU.K.V .</v></cell><cell r="D174" t="str"><v>ELECTRICIAN</v></cell><cell r="E174"><v>6180</v></cell><cell r="F174"><v>3090</v></cell><cell r="G174"><v>1030</v></cell><cell r="H174"><v>10300</v></cell></row><row r="174"><cell r="J174"><v>6180</v></cell><cell r="K174"><v>3090</v></cell><cell r="L174"><v>1030</v></cell></row><row r="174"><cell r="N174"><v>30</v></cell></row><row r="174"><cell r="P174"><v>10300</v></cell></row><row r="175"><cell r="B175"><v>3531</v></cell><cell r="C175" t="str"><v>LIJO VARAPPAN .</v></cell><cell r="D175" t="str"><v>Executive-Engineering</v></cell><cell r="E175"><v>11148</v></cell><cell r="F175"><v>5574</v></cell><cell r="G175"><v>1858</v></cell><cell r="H175"><v>18580</v></cell></row><row r="175"><cell r="J175"><v>11148</v></cell><cell r="K175"><v>5574</v></cell><cell r="L175"><v>1858</v></cell></row><row r="175"><cell r="N175"><v>30</v></cell></row><row r="175"><cell r="P175"><v>18580</v></cell></row><row r="176"><cell r="B176"><v>3532</v></cell><cell r="C176" t="str"><v>PRASANTH KUMAR.P .</v></cell><cell r="D176" t="str"><v>Assistant Manager-Materia</v></cell><cell r="E176"><v>14466</v></cell><cell r="F176"><v>7233</v></cell><cell r="G176"><v>2411</v></cell><cell r="H176"><v>24110</v></cell></row><row r="176"><cell r="J176"><v>14466</v></cell><cell r="K176"><v>7233</v></cell><cell r="L176"><v>2411</v></cell></row><row r="176"><cell r="N176"><v>30</v></cell></row><row r="176"><cell r="P176"><v>24110</v></cell></row><row r="177"><cell r="B177"><v>3534</v></cell><cell r="C177" t="str"><v>KRISHNADEV.V.S .</v></cell><cell r="D177" t="str"><v>Unit In-Charge,Elite Gree</v></cell><cell r="E177"><v>12000</v></cell><cell r="F177"><v>6000</v></cell><cell r="G177"><v>2000</v></cell><cell r="H177"><v>20000</v></cell></row><row r="177"><cell r="J177"><v>12000</v></cell><cell r="K177"><v>6000</v></cell><cell r="L177"><v>2000</v></cell></row><row r="177"><cell r="N177"><v>30</v></cell></row><row r="177"><cell r="P177"><v>20000</v></cell></row><row r="178"><cell r="B178"><v>3565</v></cell><cell r="C178" t="str"><v>SAJITHA.A.D .</v></cell><cell r="D178" t="str"><v>Senior Executive -Account</v></cell><cell r="E178"><v>15000</v></cell><cell r="F178"><v>7500</v></cell><cell r="G178"><v>2500</v></cell><cell r="H178"><v>25000</v></cell></row><row r="178"><cell r="J178"><v>15000</v></cell><cell r="K178"><v>7500</v></cell><cell r="L178"><v>2500</v></cell></row><row r="178"><cell r="N178"><v>30</v></cell></row><row r="178"><cell r="P178"><v>25000</v></cell></row><row r="179"><cell r="B179"><v>3593</v></cell><cell r="C179" t="str"><v>ELDHO MATHEW .</v></cell><cell r="D179" t="str"><v>Territory Sales Exe.,Muva</v></cell><cell r="E179"><v>6972</v></cell><cell r="F179"><v>3486</v></cell><cell r="G179"><v>1162</v></cell><cell r="H179"><v>11620</v></cell></row><row r="179"><cell r="J179"><v>6972</v></cell><cell r="K179"><v>3486</v></cell><cell r="L179"><v>1162</v></cell></row><row r="179"><cell r="N179"><v>30</v></cell></row><row r="179"><cell r="P179"><v>11620</v></cell></row><row r="180"><cell r="B180"><v>3599</v></cell><cell r="C180" t="str"><v>JITHU PRASAD .</v></cell><cell r="D180" t="str"><v>Executive-H.R</v></cell><cell r="E180"><v>14598</v></cell><cell r="F180"><v>7299</v></cell><cell r="G180"><v>2433</v></cell><cell r="H180"><v>24330</v></cell></row><row r="180"><cell r="J180"><v>14598</v></cell><cell r="K180"><v>7299</v></cell><cell r="L180"><v>2433</v></cell></row><row r="180"><cell r="N180"><v>30</v></cell></row><row r="180"><cell r="P180"><v>24330</v></cell></row><row r="181"><cell r="B181"><v>3600</v></cell><cell r="C181" t="str"><v>V.DHANDAPANI .</v></cell><cell r="D181" t="str"><v>Territory Sales Executive</v></cell><cell r="E181"><v>9072</v></cell><cell r="F181"><v>4536</v></cell><cell r="G181"><v>1512</v></cell><cell r="H181"><v>15120</v></cell></row><row r="181"><cell r="J181"><v>9072</v></cell><cell r="K181"><v>4536</v></cell><cell r="L181"><v>1512</v></cell></row><row r="181"><cell r="N181"><v>30</v></cell></row><row r="181"><cell r="P181"><v>15120</v></cell></row><row r="182"><cell r="B182"><v>3620</v></cell><cell r="C182" t="str"><v>SIDDAPPA.L .</v></cell><cell r="D182" t="str"><v>Merchandiser-Bangalore</v></cell><cell r="E182"><v>5520</v></cell><cell r="F182"><v>2760</v></cell><cell r="G182"><v>920</v></cell><cell r="H182"><v>9200</v></cell></row><row r="182"><cell r="J182"><v>5520</v></cell><cell r="K182"><v>2760</v></cell><cell r="L182"><v>920</v></cell></row><row r="182"><cell r="N182"><v>30</v></cell></row><row r="182"><cell r="P182"><v>9200</v></cell></row><row r="183"><cell r="B183"><v>3761</v></cell><cell r="C183" t="str"><v>MURTHY.K.N .</v></cell><cell r="D183" t="str"><v>Merchandiser-Bangalore</v></cell><cell r="E183"><v>5178</v></cell><cell r="F183"><v>2589</v></cell><cell r="G183"><v>863</v></cell><cell r="H183"><v>8630</v></cell></row><row r="183"><cell r="J183"><v>5178</v></cell><cell r="K183"><v>2589</v></cell><cell r="L183"><v>863</v></cell></row><row r="183"><cell r="N183"><v>30</v></cell></row><row r="183"><cell r="P183"><v>8630</v></cell></row><row r="184"><cell r="B184"><v>3772</v></cell><cell r="C184" t="str"><v>VENKATESAN.P .</v></cell><cell r="D184" t="str"><v>Territory Sales Executive</v></cell><cell r="E184"><v>9612</v></cell><cell r="F184"><v>4806</v></cell><cell r="G184"><v>1602</v></cell><cell r="H184"><v>16020</v></cell></row><row r="184"><cell r="J184"><v>9612</v></cell><cell r="K184"><v>4806</v></cell><cell r="L184"><v>1602</v></cell></row><row r="184"><cell r="N184"><v>30</v></cell></row><row r="184"><cell r="P184"><v>16020</v></cell></row><row r="185"><cell r="B185"><v>3775</v></cell><cell r="C185" t="str"><v>DEEPA.M.M .</v></cell><cell r="D185" t="str"><v>Assistant-C.R.M</v></cell><cell r="E185"><v>6324</v></cell><cell r="F185"><v>3162</v></cell><cell r="G185"><v>1054</v></cell><cell r="H185"><v>10540</v></cell></row><row r="185"><cell r="J185"><v>6324</v></cell><cell r="K185"><v>3162</v></cell><cell r="L185"><v>1054</v></cell></row><row r="185"><cell r="N185"><v>30</v></cell></row><row r="185"><cell r="P185"><v>10540</v></cell></row><row r="186"><cell r="B186"><v>3816</v></cell><cell r="C186" t="str"><v>GIJI.O.S .</v></cell><cell r="D186" t="str"><v>Sr.Executive-H.R</v></cell><cell r="E186"><v>14400</v></cell><cell r="F186"><v>7200</v></cell><cell r="G186"><v>2400</v></cell><cell r="H186"><v>24000</v></cell></row><row r="186"><cell r="J186"><v>14400</v></cell><cell r="K186"><v>7200</v></cell><cell r="L186"><v>2400</v></cell></row><row r="186"><cell r="N186"><v>30</v></cell></row><row r="186"><cell r="P186"><v>24000</v></cell></row><row r="187"><cell r="B187"><v>3875</v></cell><cell r="C187" t="str"><v>SURESH.R .</v></cell><cell r="D187" t="str"><v>Territory Sales Executive</v></cell><cell r="E187"><v>11412</v></cell><cell r="F187"><v>5706</v></cell><cell r="G187"><v>1902</v></cell><cell r="H187"><v>19020</v></cell></row><row r="187"><cell r="J187"><v>11412</v></cell><cell r="K187"><v>5706</v></cell><cell r="L187"><v>1902</v></cell></row><row r="187"><cell r="N187"><v>30</v></cell></row><row r="187"><cell r="P187"><v>19020</v></cell></row><row r="188"><cell r="B188"><v>3877</v></cell><cell r="C188" t="str"><v>RATHEESH.R .</v></cell><cell r="D188" t="str"><v>Territory Sales Executive</v></cell><cell r="E188"><v>11400</v></cell><cell r="F188"><v>5700</v></cell><cell r="G188"><v>1900</v></cell><cell r="H188"><v>19000</v></cell></row><row r="188"><cell r="J188"><v>11400</v></cell><cell r="K188"><v>5700</v></cell><cell r="L188"><v>1900</v></cell></row><row r="188"><cell r="N188"><v>30</v></cell></row><row r="188"><cell r="P188"><v>19000</v></cell></row><row r="189"><cell r="B189"><v>3911</v></cell><cell r="C189" t="str"><v>SIJO.A.J .</v></cell><cell r="D189" t="str"><v>Territory Sales Executive</v></cell><cell r="E189"><v>9180</v></cell><cell r="F189"><v>4590</v></cell><cell r="G189"><v>1530</v></cell><cell r="H189"><v>15300</v></cell></row><row r="189"><cell r="J189"><v>9180</v></cell><cell r="K189"><v>4590</v></cell><cell r="L189"><v>1530</v></cell></row><row r="189"><cell r="N189"><v>30</v></cell></row><row r="189"><cell r="P189"><v>15300</v></cell></row><row r="190"><cell r="B190"><v>3921</v></cell><cell r="C190" t="str"><v>RENJITH MURUKAN .</v></cell><cell r="D190" t="str"><v>Jr.Exe.-Food Safety& QA,M</v></cell><cell r="E190"><v>7500</v></cell><cell r="F190"><v>3750</v></cell><cell r="G190"><v>1250</v></cell><cell r="H190"><v>12500</v></cell></row><row r="190"><cell r="J190"><v>7500</v></cell><cell r="K190"><v>3750</v></cell><cell r="L190"><v>1250</v></cell></row><row r="190"><cell r="N190"><v>30</v></cell></row><row r="190"><cell r="P190"><v>12500</v></cell></row><row r="191"><cell r="B191"><v>3923</v></cell><cell r="C191" t="str"><v>RAJIN.A.R .</v></cell><cell r="D191" t="str"><v>Executive-Accounts(Thriss</v></cell><cell r="E191"><v>9516</v></cell><cell r="F191"><v>4758</v></cell><cell r="G191"><v>1586</v></cell><cell r="H191"><v>15860</v></cell></row><row r="191"><cell r="J191"><v>9516</v></cell><cell r="K191"><v>4758</v></cell><cell r="L191"><v>1586</v></cell></row><row r="191"><cell r="N191"><v>30</v></cell></row><row r="191"><cell r="P191"><v>15860</v></cell></row><row r="192"><cell r="B192"><v>3924</v></cell><cell r="C192" t="str"><v>MANOSH.V.M .</v></cell><cell r="D192" t="str"><v>Jr.Executive-I.T</v></cell><cell r="E192"><v>9000</v></cell><cell r="F192"><v>4500</v></cell><cell r="G192"><v>1500</v></cell><cell r="H192"><v>15000</v></cell></row><row r="192"><cell r="J192"><v>9000</v></cell><cell r="K192"><v>4500</v></cell><cell r="L192"><v>1500</v></cell></row><row r="192"><cell r="N192"><v>30</v></cell></row><row r="192"><cell r="P192"><v>15000</v></cell></row><row r="193"><cell r="B193"><v>3962</v></cell><cell r="C193" t="str"><v>SAJIN.K.S .</v></cell><cell r="D193" t="str"><v>Jr.Executive-Q.A</v></cell><cell r="E193"><v>9600</v></cell><cell r="F193"><v>4800</v></cell><cell r="G193"><v>1600</v></cell><cell r="H193"><v>16000</v></cell></row><row r="193"><cell r="J193"><v>9600</v></cell><cell r="K193"><v>4800</v></cell><cell r="L193"><v>1600</v></cell></row><row r="193"><cell r="N193"><v>30</v></cell></row><row r="193"><cell r="P193"><v>16000</v></cell></row><row r="194"><cell r="B194"><v>3974</v></cell><cell r="C194" t="str"><v>S.VEERABATHIRAN .</v></cell><cell r="D194" t="str"><v>Territory Sales Manager</v></cell><cell r="E194"><v>15600</v></cell><cell r="F194"><v>7800</v></cell><cell r="G194"><v>2600</v></cell><cell r="H194"><v>26000</v></cell></row><row r="194"><cell r="J194"><v>15600</v></cell><cell r="K194"><v>7800</v></cell><cell r="L194"><v>2600</v></cell></row><row r="194"><cell r="N194"><v>30</v></cell></row><row r="194"><cell r="P194"><v>26000</v></cell></row><row r="195"><cell r="B195"><v>3989</v></cell><cell r="C195" t="str"><v>SUDHAN.K .</v></cell><cell r="D195" t="str"><v>Executive-MIS</v></cell><cell r="E195"><v>12468</v></cell><cell r="F195"><v>6234</v></cell><cell r="G195"><v>2078</v></cell><cell r="H195"><v>20780</v></cell></row><row r="195"><cell r="J195"><v>12468</v></cell><cell r="K195"><v>6234</v></cell><cell r="L195"><v>2078</v></cell></row><row r="195"><cell r="N195"><v>30</v></cell></row><row r="195"><cell r="P195"><v>20780</v></cell></row><row r="196"><cell r="B196"><v>3992</v></cell><cell r="C196" t="str"><v>ANIL BABU .</v></cell><cell r="D196" t="str"><v>Merchandiser</v></cell><cell r="E196"><v>7800</v></cell><cell r="F196"><v>3900</v></cell><cell r="G196"><v>1300</v></cell><cell r="H196"><v>13000</v></cell></row><row r="196"><cell r="J196"><v>7800</v></cell><cell r="K196"><v>3900</v></cell><cell r="L196"><v>1300</v></cell></row><row r="196"><cell r="N196"><v>30</v></cell></row><row r="196"><cell r="P196"><v>13000</v></cell></row><row r="197"><cell r="B197"><v>4010</v></cell><cell r="C197" t="str"><v>ANEESH KUMAR.K .</v></cell><cell r="D197" t="str"><v>TERRITORY SALES EXECUTIVE</v></cell><cell r="E197"><v>10812</v></cell><cell r="F197"><v>5406</v></cell><cell r="G197"><v>1802</v></cell><cell r="H197"><v>18020</v></cell></row><row r="197"><cell r="J197"><v>10812</v></cell><cell r="K197"><v>5406</v></cell><cell r="L197"><v>1802</v></cell></row><row r="197"><cell r="N197"><v>30</v></cell></row><row r="197"><cell r="P197"><v>18020</v></cell></row><row r="198"><cell r="B198"><v>4017</v></cell><cell r="C198" t="str"><v>JAYESH.K .</v></cell><cell r="D198" t="str"><v>Assistant -Store</v></cell><cell r="E198"><v>5400</v></cell><cell r="F198"><v>2700</v></cell><cell r="G198"><v>900</v></cell><cell r="H198"><v>9000</v></cell></row><row r="198"><cell r="J198"><v>5400</v></cell><cell r="K198"><v>2700</v></cell><cell r="L198"><v>900</v></cell></row><row r="198"><cell r="N198"><v>30</v></cell></row><row r="198"><cell r="P198"><v>9000</v></cell></row><row r="199"><cell r="B199"><v>4028</v></cell><cell r="C199" t="str"><v>SMITHA.V .</v></cell><cell r="D199" t="str"><v>Assistant -Depot,Thrissur</v></cell><cell r="E199"><v>5700</v></cell><cell r="F199"><v>2850</v></cell><cell r="G199"><v>950</v></cell><cell r="H199"><v>9500</v></cell></row><row r="199"><cell r="J199"><v>5700</v></cell><cell r="K199"><v>2850</v></cell><cell r="L199"><v>950</v></cell></row><row r="199"><cell r="N199"><v>30</v></cell></row><row r="199"><cell r="P199"><v>9500</v></cell></row><row r="200"><cell r="B200"><v>4040</v></cell><cell r="C200" t="str"><v>VIJITH.T.P .</v></cell><cell r="D200" t="str"><v>TERRITORY SALES EXECUTIVE</v></cell><cell r="E200"><v>9000</v></cell><cell r="F200"><v>4500</v></cell><cell r="G200"><v>1500</v></cell><cell r="H200"><v>15000</v></cell></row><row r="200"><cell r="J200"><v>9000</v></cell><cell r="K200"><v>4500</v></cell><cell r="L200"><v>1500</v></cell></row><row r="200"><cell r="N200"><v>30</v></cell></row><row r="200"><cell r="P200"><v>15000</v></cell></row><row r="201"><cell r="B201"><v>4045</v></cell><cell r="C201" t="str"><v>SUDHEER.P.V .</v></cell><cell r="D201" t="str"><v>Assistant -Store</v></cell><cell r="E201"><v>10200</v></cell><cell r="F201"><v>5100</v></cell><cell r="G201"><v>1700</v></cell><cell r="H201"><v>17000</v></cell></row><row r="201"><cell r="J201"><v>10200</v></cell><cell r="K201"><v>5100</v></cell><cell r="L201"><v>1700</v></cell></row><row r="201"><cell r="N201"><v>30</v></cell></row><row r="201"><cell r="P201"><v>17000</v></cell></row><row r="202"><cell r="B202"><v>4047</v></cell><cell r="C202" t="str"><v>SANOOP.C .</v></cell><cell r="D202" t="str"><v>TERRITORY SALES EXECUTIVE</v></cell><cell r="E202"><v>8250</v></cell><cell r="F202"><v>4125</v></cell><cell r="G202"><v>1375</v></cell><cell r="H202"><v>13750</v></cell></row><row r="202"><cell r="J202"><v>8250</v></cell><cell r="K202"><v>4125</v></cell><cell r="L202"><v>1375</v></cell></row><row r="202"><cell r="N202"><v>30</v></cell></row><row r="202"><cell r="P202"><v>13750</v></cell></row><row r="203"><cell r="B203"><v>4052</v></cell><cell r="C203" t="str"><v>AKSHAY.P.M .</v></cell><cell r="D203" t="str"><v>Merchandiser</v></cell><cell r="E203"><v>5700</v></cell><cell r="F203"><v>2850</v></cell><cell r="G203"><v>950</v></cell><cell r="H203"><v>9500</v></cell></row><row r="203"><cell r="J203"><v>5700</v></cell><cell r="K203"><v>2850</v></cell><cell r="L203"><v>950</v></cell></row><row r="203"><cell r="N203"><v>30</v></cell></row><row r="203"><cell r="P203"><v>9500</v></cell></row><row r="204"><cell r="B204"><v>4056</v></cell><cell r="C204" t="str"><v>JOMON PETER .</v></cell><cell r="D204" t="str"><v>Integration: default posi</v></cell><cell r="E204"><v>8100</v></cell><cell r="F204"><v>4050</v></cell><cell r="G204"><v>1350</v></cell><cell r="H204"><v>13500</v></cell></row><row r="204"><cell r="J204"><v>5400</v></cell><cell r="K204"><v>2700</v></cell><cell r="L204"><v>900</v></cell></row><row r="204"><cell r="N204"><v>20</v></cell></row><row r="204"><cell r="P204"><v>9000</v></cell></row><row r="205"><cell r="B205"><v>4057</v></cell><cell r="C205" t="str"><v>JISMON JOHN .</v></cell><cell r="D205" t="str"><v>Merchandiser-Ernakulam</v></cell><cell r="E205"><v>6000</v></cell><cell r="F205"><v>3000</v></cell><cell r="G205"><v>1000</v></cell><cell r="H205"><v>10000</v></cell></row><row r="205"><cell r="J205"><v>6000</v></cell><cell r="K205"><v>3000</v></cell><cell r="L205"><v>1000</v></cell></row><row r="205"><cell r="N205"><v>30</v></cell></row><row r="205"><cell r="P205"><v>10000</v></cell></row><row r="206"><cell r="B206"><v>4058</v></cell><cell r="C206" t="str"><v>MANSOOR.M .</v></cell><cell r="D206" t="str"><v>Merchandiser,Palakkad dis</v></cell><cell r="E206"><v>5700</v></cell><cell r="F206"><v>2850</v></cell><cell r="G206"><v>950</v></cell><cell r="H206"><v>9500</v></cell></row><row r="206"><cell r="J206"><v>5700</v></cell><cell r="K206"><v>2850</v></cell><cell r="L206"><v>950</v></cell></row><row r="206"><cell r="N206"><v>30</v></cell></row><row r="206"><cell r="P206"><v>9500</v></cell></row><row r="207"><cell r="B207"><v>4060</v></cell><cell r="C207" t="str"><v>ASHKAR.M.P .</v></cell><cell r="D207" t="str"><v>Merchandiser</v></cell><cell r="E207"><v>5700</v></cell><cell r="F207"><v>2850</v></cell><cell r="G207"><v>950</v></cell><cell r="H207"><v>9500</v></cell></row><row r="207"><cell r="J207"><v>5700</v></cell><cell r="K207"><v>2850</v></cell><cell r="L207"><v>950</v></cell></row><row r="207"><cell r="N207"><v>30</v></cell></row><row r="207"><cell r="P207"><v>9500</v></cell></row><row r="208"><cell r="B208"><v>4061</v></cell><cell r="C208" t="str"><v>SREEJITH MON.A.R .</v></cell><cell r="D208" t="str"><v>Territory Sales Executive</v></cell><cell r="E208"><v>8250</v></cell><cell r="F208"><v>4125</v></cell><cell r="G208"><v>1375</v></cell><cell r="H208"><v>13750</v></cell></row><row r="208"><cell r="J208"><v>8250</v></cell><cell r="K208"><v>4125</v></cell><cell r="L208"><v>1375</v></cell></row><row r="208"><cell r="N208"><v>30</v></cell></row><row r="208"><cell r="P208"><v>13750</v></cell></row><row r="209"><cell r="B209"><v>4073</v></cell><cell r="C209" t="str"><v>SURESH.K .</v></cell><cell r="D209" t="str"><v>Merchandiser</v></cell><cell r="E209"><v>5700</v></cell><cell r="F209"><v>2850</v></cell><cell r="G209"><v>950</v></cell><cell r="H209"><v>9500</v></cell></row><row r="209"><cell r="J209"><v>5700</v></cell><cell r="K209"><v>2850</v></cell><cell r="L209"><v>950</v></cell></row><row r="209"><cell r="N209"><v>30</v></cell></row><row r="209"><cell r="P209"><v>9500</v></cell></row><row r="210"><cell r="B210"><v>4077</v></cell><cell r="C210" t="str"><v>MITHUN.T.MATHEW .</v></cell><cell r="D210" t="str"><v>Merchandiser</v></cell><cell r="E210"><v>5850</v></cell><cell r="F210"><v>2925</v></cell><cell r="G210"><v>975</v></cell><cell r="H210"><v>9750</v></cell></row><row r="210"><cell r="J210"><v>5850</v></cell><cell r="K210"><v>2925</v></cell><cell r="L210"><v>975</v></cell></row><row r="210"><cell r="N210"><v>30</v></cell></row><row r="210"><cell r="P210"><v>9750</v></cell></row><row r="211"><cell r="B211"><v>4078</v></cell><cell r="C211" t="str"><v>MUHAMMED MAHEEN.A.R .</v></cell><cell r="D211" t="str"><v>Merchandiser</v></cell><cell r="E211"><v>5700</v></cell><cell r="F211"><v>2850</v></cell><cell r="G211"><v>950</v></cell><cell r="H211"><v>9500</v></cell></row><row r="211"><cell r="J211"><v>5700</v></cell><cell r="K211"><v>2850</v></cell><cell r="L211"><v>950</v></cell></row><row r="211"><cell r="N211"><v>30</v></cell></row><row r="211"><cell r="P211"><v>9500</v></cell></row><row r="212"><cell r="B212"><v>4079</v></cell><cell r="C212" t="str"><v>PRASAD.M.C .</v></cell><cell r="D212" t="str"><v>SALES REPRESENTATIVE</v></cell><cell r="E212"><v>7200</v></cell><cell r="F212"><v>3600</v></cell><cell r="G212"><v>1200</v></cell><cell r="H212"><v>12000</v></cell></row><row r="212"><cell r="J212"><v>7200</v></cell><cell r="K212"><v>3600</v></cell><cell r="L212"><v>1200</v></cell></row><row r="212"><cell r="N212"><v>30</v></cell></row><row r="212"><cell r="P212"><v>12000</v></cell></row><row r="213"><cell r="B213"><v>4097</v></cell><cell r="C213" t="str"><v>SANDEEP SWAROOP .</v></cell><cell r="D213" t="str"><v>TERRITORY SALES EXECUTIVE</v></cell><cell r="E213"><v>9600</v></cell><cell r="F213"><v>4800</v></cell><cell r="G213"><v>1600</v></cell><cell r="H213"><v>16000</v></cell></row><row r="213"><cell r="J213"><v>9600</v></cell><cell r="K213"><v>4800</v></cell><cell r="L213"><v>1600</v></cell></row><row r="213"><cell r="N213"><v>30</v></cell></row><row r="213"><cell r="P213"><v>16000</v></cell></row><row r="214"><cell r="B214"><v>4101</v></cell><cell r="C214" t="str"><v>GIREESH KUMAR.T.G .</v></cell><cell r="D214" t="str"><v>TERRITORY SALES EXECUTIVE</v></cell><cell r="E214"><v>8520</v></cell><cell r="F214"><v>4260</v></cell><cell r="G214"><v>1420</v></cell><cell r="H214"><v>14200</v></cell></row><row r="214"><cell r="J214"><v>8520</v></cell><cell r="K214"><v>4260</v></cell><cell r="L214"><v>1420</v></cell></row><row r="214"><cell r="N214"><v>30</v></cell></row><row r="214"><cell r="P214"><v>14200</v></cell></row><row r="215"><cell r="B215"><v>4111</v></cell><cell r="C215" t="str"><v>BINIL SAJU .</v></cell><cell r="D215" t="str"><v>Executive Purchase</v></cell><cell r="E215"><v>13800</v></cell><cell r="F215"><v>6900</v></cell><cell r="G215"><v>2300</v></cell><cell r="H215"><v>23000</v></cell></row><row r="215"><cell r="J215"><v>13800</v></cell><cell r="K215"><v>6900</v></cell><cell r="L215"><v>2300</v></cell></row><row r="215"><cell r="N215"><v>30</v></cell></row><row r="215"><cell r="P215"><v>23000</v></cell></row><row r="216"><cell r="B216"><v>4113</v></cell><cell r="C216" t="str"><v>SUNIL KUMAR.C.S .</v></cell><cell r="D216" t="str"><v>Delivery Boy</v></cell><cell r="E216"><v>5850</v></cell><cell r="F216"><v>2925</v></cell><cell r="G216"><v>975</v></cell><cell r="H216"><v>9750</v></cell></row><row r="216"><cell r="J216"><v>5850</v></cell><cell r="K216"><v>2925</v></cell><cell r="L216"><v>975</v></cell></row><row r="216"><cell r="N216"><v>30</v></cell></row><row r="216"><cell r="P216"><v>9750</v></cell></row><row r="217"><cell r="B217"><v>4116</v></cell><cell r="C217" t="str"><v>RENJITH.R .</v></cell><cell r="D217" t="str"><v>Sales Representative in A</v></cell><cell r="E217"><v>6000</v></cell><cell r="F217"><v>3000</v></cell><cell r="G217"><v>1000</v></cell><cell r="H217"><v>10000</v></cell></row><row r="217"><cell r="J217"><v>6000</v></cell><cell r="K217"><v>3000</v></cell><cell r="L217"><v>1000</v></cell></row><row r="217"><cell r="N217"><v>30</v></cell></row><row r="217"><cell r="P217"><v>10000</v></cell></row><row r="218"><cell r="B218"><v>4121</v></cell><cell r="C218" t="str"><v>NITHIN MATHEW .</v></cell><cell r="D218" t="str"><v>SALES REPRESENTATIVE</v></cell><cell r="E218"><v>7200</v></cell><cell r="F218"><v>3600</v></cell><cell r="G218"><v>1200</v></cell><cell r="H218"><v>12000</v></cell></row><row r="218"><cell r="J218"><v>7200</v></cell><cell r="K218"><v>3600</v></cell><cell r="L218"><v>1200</v></cell></row><row r="218"><cell r="N218"><v>30</v></cell></row><row r="218"><cell r="P218"><v>12000</v></cell></row><row r="219"><cell r="B219"><v>4131</v></cell><cell r="C219" t="str"><v>MUHAMMAD NISHAD.N .</v></cell><cell r="D219" t="str"><v>Merchandiser</v></cell><cell r="E219"><v>5850</v></cell><cell r="F219"><v>2925</v></cell><cell r="G219"><v>975</v></cell><cell r="H219"><v>9750</v></cell></row><row r="219"><cell r="J219"><v>5850</v></cell><cell r="K219"><v>2925</v></cell><cell r="L219"><v>975</v></cell></row><row r="219"><cell r="N219"><v>30</v></cell></row><row r="219"><cell r="P219"><v>9750</v></cell></row><row r="220"><cell r="B220"><v>4140</v></cell><cell r="C220" t="str"><v>KUNJUMON.V .</v></cell><cell r="D220" t="str"><v>Delivery Boy</v></cell><cell r="E220"><v>6900</v></cell><cell r="F220"><v>3450</v></cell><cell r="G220"><v>1150</v></cell><cell r="H220"><v>11500</v></cell></row><row r="220"><cell r="J220"><v>6900</v></cell><cell r="K220"><v>3450</v></cell><cell r="L220"><v>1150</v></cell></row><row r="220"><cell r="N220"><v>30</v></cell></row><row r="220"><cell r="P220"><v>11500</v></cell></row><row r="221"><cell r="B221"><v>4146</v></cell><cell r="C221" t="str"><v>GANESH KUMAR.B .</v></cell><cell r="D221" t="str"><v>Sales Representative in C</v></cell><cell r="E221"><v>8100</v></cell><cell r="F221"><v>4050</v></cell><cell r="G221"><v>1350</v></cell><cell r="H221"><v>13500</v></cell></row><row r="221"><cell r="J221"><v>8100</v></cell><cell r="K221"><v>4050</v></cell><cell r="L221"><v>1350</v></cell></row><row r="221"><cell r="N221"><v>30</v></cell></row><row r="221"><cell r="P221"><v>13500</v></cell></row><row r="222"><cell r="B222"><v>4156</v></cell><cell r="C222" t="str"><v>VIBIN RAJ.R .</v></cell><cell r="D222" t="str"><v>TERRITORY SALES EXECUTIVE</v></cell><cell r="E222"><v>8400</v></cell><cell r="F222"><v>4200</v></cell><cell r="G222"><v>1400</v></cell><cell r="H222"><v>14000</v></cell></row><row r="222"><cell r="J222"><v>8400</v></cell><cell r="K222"><v>4200</v></cell><cell r="L222"><v>1400</v></cell></row><row r="222"><cell r="N222"><v>30</v></cell></row><row r="222"><cell r="P222"><v>14000</v></cell></row><row r="223"><cell r="B223"><v>4163</v></cell><cell r="C223" t="str"><v>VINOD.S .</v></cell><cell r="D223" t="str"><v>Territory Sales Executive</v></cell><cell r="E223"><v>9300</v></cell><cell r="F223"><v>4650</v></cell><cell r="G223"><v>1550</v></cell><cell r="H223"><v>15500</v></cell></row><row r="223"><cell r="J223"><v>9300</v></cell><cell r="K223"><v>4650</v></cell><cell r="L223"><v>1550</v></cell></row><row r="223"><cell r="N223"><v>30</v></cell></row><row r="223"><cell r="P223"><v>15500</v></cell></row><row r="224"><cell r="B224"><v>4165</v></cell><cell r="C224" t="str"><v>BOBIN.P.JOSEPH .</v></cell><cell r="D224" t="str"><v>Merchandiser</v></cell><cell r="E224"><v>6150</v></cell><cell r="F224"><v>3075</v></cell><cell r="G224"><v>1025</v></cell><cell r="H224"><v>10250</v></cell></row><row r="224"><cell r="J224"><v>6150</v></cell><cell r="K224"><v>3075</v></cell><cell r="L224"><v>1025</v></cell></row><row r="224"><cell r="N224"><v>30</v></cell></row><row r="224"><cell r="P224"><v>10250</v></cell></row><row r="225"><cell r="B225"><v>4166</v></cell><cell r="C225" t="str"><v>NIKHIL RAVI .</v></cell><cell r="D225" t="str"><v>Assistant-Despatch</v></cell><cell r="E225"><v>5100</v></cell><cell r="F225"><v>2550</v></cell><cell r="G225"><v>850</v></cell><cell r="H225"><v>8500</v></cell></row><row r="225"><cell r="J225"><v>5100</v></cell><cell r="K225"><v>2550</v></cell><cell r="L225"><v>850</v></cell></row><row r="225"><cell r="N225"><v>30</v></cell></row><row r="225"><cell r="P225"><v>8500</v></cell></row><row r="226"><cell r="B226"><v>4172</v></cell><cell r="C226" t="str"><v>JISHAMOL JOSHY .</v></cell><cell r="D226" t="str"><v>Depot Incharge-Kattappana</v></cell><cell r="E226"><v>5400</v></cell><cell r="F226"><v>2700</v></cell><cell r="G226"><v>900</v></cell><cell r="H226"><v>9000</v></cell></row><row r="226"><cell r="J226"><v>5040</v></cell><cell r="K226"><v>2520</v></cell><cell r="L226"><v>840</v></cell></row><row r="226"><cell r="N226"><v>28</v></cell><cell r="O226"><v>2</v></cell><cell r="P226"><v>8400</v></cell></row><row r="227"><cell r="B227"><v>4188</v></cell><cell r="C227" t="str"><v>YASHIN XAVIER.K.G .</v></cell><cell r="D227" t="str"><v>TERRITORY SALES EXECUTIVE</v></cell><cell r="E227"><v>9180</v></cell><cell r="F227"><v>4590</v></cell><cell r="G227"><v>1530</v></cell><cell r="H227"><v>15300</v></cell></row><row r="227"><cell r="J227"><v>9180</v></cell><cell r="K227"><v>4590</v></cell><cell r="L227"><v>1530</v></cell></row><row r="227"><cell r="N227"><v>30</v></cell></row><row r="227"><cell r="P227"><v>15300</v></cell></row><row r="228"><cell r="B228"><v>4216</v></cell><cell r="C228" t="str"><v>PRAVEEN.V.V .</v></cell><cell r="D228" t="str"><v>Assistant - Stores</v></cell><cell r="E228"><v>5700</v></cell><cell r="F228"><v>2850</v></cell><cell r="G228"><v>950</v></cell><cell r="H228"><v>9500</v></cell></row><row r="228"><cell r="J228"><v>5700</v></cell><cell r="K228"><v>2850</v></cell><cell r="L228"><v>950</v></cell></row><row r="228"><cell r="N228"><v>30</v></cell></row><row r="228"><cell r="P228"><v>9500</v></cell></row><row r="229"><cell r="B229"><v>4218</v></cell><cell r="C229" t="str"><v>ALOK SUBRAMANIAN .</v></cell><cell r="D229" t="str"><v>Jr.Executive-Logistics</v></cell><cell r="E229"><v>9600</v></cell><cell r="F229"><v>4800</v></cell><cell r="G229"><v>1600</v></cell><cell r="H229"><v>16000</v></cell></row><row r="229"><cell r="J229"><v>9600</v></cell><cell r="K229"><v>4800</v></cell><cell r="L229"><v>1600</v></cell></row><row r="229"><cell r="N229"><v>30</v></cell></row><row r="229"><cell r="P229"><v>16000</v></cell></row><row r="230"><cell r="B230"><v>4365</v></cell><cell r="C230" t="str"><v>ABHIJITH.P.S .</v></cell><cell r="D230" t="str"><v>Assistant - Stores</v></cell><cell r="E230"><v>5400</v></cell><cell r="F230"><v>2700</v></cell><cell r="G230"><v>900</v></cell><cell r="H230"><v>9000</v></cell></row><row r="230"><cell r="J230"><v>5400</v></cell><cell r="K230"><v>2700</v></cell><cell r="L230"><v>900</v></cell></row><row r="230"><cell r="N230"><v>30</v></cell></row><row r="230"><cell r="P230"><v>9000</v></cell></row><row r="231"><cell r="B231"><v>4427</v></cell><cell r="C231" t="str"><v>ANEESH KUMAR.G.T .</v></cell><cell r="D231" t="str"><v>Delivery Boy</v></cell><cell r="E231"><v>6150</v></cell><cell r="F231"><v>3075</v></cell><cell r="G231"><v>1025</v></cell><cell r="H231"><v>10250</v></cell></row><row r="231"><cell r="J231"><v>6150</v></cell><cell r="K231"><v>3075</v></cell><cell r="L231"><v>1025</v></cell></row><row r="231"><cell r="N231"><v>30</v></cell></row><row r="231"><cell r="P231"><v>10250</v></cell></row><row r="232"><cell r="B232"><v>4437</v></cell><cell r="C232" t="str"><v>RAJITH.B .</v></cell><cell r="D232" t="str"><v>TERRITORY SALES EXECUTIVE</v></cell><cell r="E232"><v>9000</v></cell><cell r="F232"><v>4500</v></cell><cell r="G232"><v>1500</v></cell><cell r="H232"><v>15000</v></cell></row><row r="232"><cell r="J232"><v>9000</v></cell><cell r="K232"><v>4500</v></cell><cell r="L232"><v>1500</v></cell></row><row r="232"><cell r="N232"><v>30</v></cell></row><row r="232"><cell r="P232"><v>15000</v></cell></row><row r="233"><cell r="B233"><v>4486</v></cell><cell r="C233" t="str"><v>Shafil K R .</v></cell><cell r="D233" t="str"><v>SALES REPRESENTATIVE</v></cell><cell r="E233"><v>7200</v></cell><cell r="F233"><v>3600</v></cell><cell r="G233"><v>1200</v></cell><cell r="H233"><v>12000</v></cell></row><row r="233"><cell r="J233"><v>7200</v></cell><cell r="K233"><v>3600</v></cell><cell r="L233"><v>1200</v></cell></row><row r="233"><cell r="N233"><v>30</v></cell></row><row r="233"><cell r="P233"><v>12000</v></cell></row><row r="234"><cell r="B234"><v>4496</v></cell><cell r="C234" t="str"><v>SIJU.P.S .</v></cell><cell r="D234" t="str"><v>TERRITORY SALES EXECUTIVE</v></cell><cell r="E234"><v>9900</v></cell><cell r="F234"><v>4950</v></cell><cell r="G234"><v>1650</v></cell><cell r="H234"><v>16500</v></cell></row><row r="234"><cell r="J234"><v>9900</v></cell><cell r="K234"><v>4950</v></cell><cell r="L234"><v>1650</v></cell></row><row r="234"><cell r="N234"><v>30</v></cell></row><row r="234"><cell r="P234"><v>16500</v></cell></row><row r="235"><cell r="B235"><v>4497</v></cell><cell r="C235" t="str"><v>SAMEER.C.P .</v></cell><cell r="D235" t="str"><v>TERRITORY SALES EXECUTIVE</v></cell><cell r="E235"><v>10500</v></cell><cell r="F235"><v>5250</v></cell><cell r="G235"><v>1750</v></cell><cell r="H235"><v>17500</v></cell></row><row r="235"><cell r="J235"><v>10500</v></cell><cell r="K235"><v>5250</v></cell><cell r="L235"><v>1750</v></cell></row><row r="235"><cell r="N235"><v>30</v></cell></row><row r="235"><cell r="P235"><v>17500</v></cell></row><row r="236"><cell r="B236"><v>4552</v></cell><cell r="C236" t="str"><v>FEGGY THOMAS .</v></cell><cell r="D236" t="str"><v>General Manager</v></cell><cell r="E236"><v>124200</v></cell><cell r="F236"><v>62100</v></cell><cell r="G236"><v>20700</v></cell><cell r="H236"><v>207000</v></cell></row><row r="236"><cell r="J236"><v>124200</v></cell><cell r="K236"><v>62100</v></cell><cell r="L236"><v>20700</v></cell></row><row r="236"><cell r="N236"><v>30</v></cell></row><row r="236"><cell r="P236"><v>207000</v></cell></row><row r="237"><cell r="B237"><v>4553</v></cell><cell r="C237" t="str"><v>BABURAJAN PARAKKAL .</v></cell><cell r="D237" t="str"><v>TERRITORY SALES EXECUTIVE</v></cell><cell r="E237"><v>10200</v></cell><cell r="F237"><v>5100</v></cell><cell r="G237"><v>1700</v></cell><cell r="H237"><v>17000</v></cell></row><row r="237"><cell r="J237"><v>10200</v></cell><cell r="K237"><v>5100</v></cell><cell r="L237"><v>1700</v></cell></row><row r="237"><cell r="N237"><v>30</v></cell></row><row r="237"><cell r="P237"><v>17000</v></cell></row><row r="238"><cell r="B238"><v>4578</v></cell><cell r="C238" t="str"><v>JOSHY.P.J .</v></cell><cell r="D238" t="str"><v>ELECTRICIAN</v></cell><cell r="E238"><v>9000</v></cell><cell r="F238"><v>4500</v></cell><cell r="G238"><v>1500</v></cell><cell r="H238"><v>15000</v></cell></row><row r="238"><cell r="J238"><v>9000</v></cell><cell r="K238"><v>4500</v></cell><cell r="L238"><v>1500</v></cell></row><row r="238"><cell r="N238"><v>30</v></cell></row><row r="238"><cell r="P238"><v>15000</v></cell></row><row r="239"><cell r="B239"><v>4579</v></cell><cell r="C239" t="str"><v>SIJIMON.R .</v></cell><cell r="D239" t="str"><v>Merchandiser</v></cell><cell r="E239"><v>6000</v></cell><cell r="F239"><v>3000</v></cell><cell r="G239"><v>1000</v></cell><cell r="H239"><v>10000</v></cell></row><row r="239"><cell r="J239"><v>6000</v></cell><cell r="K239"><v>3000</v></cell><cell r="L239"><v>1000</v></cell></row><row r="239"><cell r="N239"><v>30</v></cell></row><row r="239"><cell r="P239"><v>10000</v></cell></row><row r="240"><cell r="B240"><v>4585</v></cell><cell r="C240" t="str"><v>AJITH.A .</v></cell><cell r="D240" t="str"><v>Assistant -Accounts</v></cell><cell r="E240"><v>6600</v></cell><cell r="F240"><v>3300</v></cell><cell r="G240"><v>1100</v></cell><cell r="H240"><v>11000</v></cell></row><row r="240"><cell r="J240"><v>6600</v></cell><cell r="K240"><v>3300</v></cell><cell r="L240"><v>1100</v></cell></row><row r="240"><cell r="N240"><v>30</v></cell></row><row r="240"><cell r="P240"><v>11000</v></cell></row><row r="241"><cell r="B241"><v>4939</v></cell><cell r="C241" t="str"><v>SANEESH.P.B .</v></cell><cell r="D241" t="str"><v>TERRITORY SALES EXECUTIVE</v></cell><cell r="E241"><v>12000</v></cell><cell r="F241"><v>6000</v></cell><cell r="G241"><v>2000</v></cell><cell r="H241"><v>20000</v></cell></row><row r="241"><cell r="J241"><v>12000</v></cell><cell r="K241"><v>6000</v></cell><cell r="L241"><v>2000</v></cell></row><row r="241"><cell r="N241"><v>30</v></cell></row><row r="241"><cell r="P241"><v>20000</v></cell></row><row r="242"><cell r="B242"><v>4941</v></cell><cell r="C242" t="str"><v>MINIMOL.M.P .</v></cell><cell r="D242" t="str"><v>Sr.Executive -Costing & P</v></cell><cell r="E242"><v>18000</v></cell><cell r="F242"><v>9000</v></cell><cell r="G242"><v>3000</v></cell><cell r="H242"><v>30000</v></cell></row><row r="242"><cell r="J242"><v>18000</v></cell><cell r="K242"><v>9000</v></cell><cell r="L242"><v>3000</v></cell></row><row r="242"><cell r="N242"><v>30</v></cell></row><row r="242"><cell r="P242"><v>30000</v></cell></row><row r="243"><cell r="B243"><v>4949</v></cell><cell r="C243" t="str"><v>DUDHIN.D .</v></cell><cell r="D243" t="str"><v>TERRITORY SALES EXECUTIVE</v></cell><cell r="E243"><v>8400</v></cell><cell r="F243"><v>4200</v></cell><cell r="G243"><v>1400</v></cell><cell r="H243"><v>14000</v></cell></row><row r="243"><cell r="J243"><v>8400</v></cell><cell r="K243"><v>4200</v></cell><cell r="L243"><v>1400</v></cell></row><row r="243"><cell r="N243"><v>30</v></cell></row><row r="243"><cell r="P243"><v>14000</v></cell></row><row r="244"><cell r="B244"><v>4950</v></cell><cell r="C244" t="str"><v>RATHISHMON.K.M .</v></cell><cell r="D244" t="str"><v>Merchandiser</v></cell><cell r="E244"><v>5700</v></cell><cell r="F244"><v>2850</v></cell><cell r="G244"><v>950</v></cell><cell r="H244"><v>9500</v></cell></row><row r="244"><cell r="J244"><v>5510</v></cell><cell r="K244"><v>2755</v></cell><cell r="L244"><v>918.33</v></cell></row><row r="244"><cell r="N244"><v>29</v></cell><cell r="O244"><v>1</v></cell><cell r="P244"><v>9183.33</v></cell></row><row r="245"><cell r="B245"><v>4959</v></cell><cell r="C245" t="str"><v>AJESH.T.N .</v></cell><cell r="D245" t="str"><v>SALES REPRESENTATIVE</v></cell><cell r="E245"><v>7200</v></cell><cell r="F245"><v>3600</v></cell><cell r="G245"><v>1200</v></cell><cell r="H245"><v>12000</v></cell></row><row r="245"><cell r="J245"><v>5040</v></cell><cell r="K245"><v>2520</v></cell><cell r="L245"><v>840</v></cell></row><row r="245"><cell r="N245"><v>21</v></cell></row><row r="245"><cell r="P245"><v>8400</v></cell></row></sheetData><sheetData sheetId="1"></sheetData></sheetDataSet></externalBook>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22.28"/>
    <col collapsed="false" customWidth="true" hidden="false" outlineLevel="0" max="2" min="2" style="1" width="11.56"/>
    <col collapsed="false" customWidth="true" hidden="false" outlineLevel="0" max="3" min="3" style="2" width="10.56"/>
    <col collapsed="false" customWidth="true" hidden="false" outlineLevel="0" max="4" min="4" style="1" width="13.42"/>
    <col collapsed="false" customWidth="true" hidden="false" outlineLevel="0" max="5" min="5" style="1" width="13.7"/>
    <col collapsed="false" customWidth="true" hidden="false" outlineLevel="0" max="6" min="6" style="1" width="14.7"/>
    <col collapsed="false" customWidth="true" hidden="false" outlineLevel="0" max="7" min="7" style="1" width="13.56"/>
    <col collapsed="false" customWidth="true" hidden="false" outlineLevel="0" max="8" min="8" style="1" width="11.56"/>
    <col collapsed="false" customWidth="true" hidden="false" outlineLevel="0" max="9" min="9" style="1" width="10.99"/>
    <col collapsed="false" customWidth="true" hidden="false" outlineLevel="0" max="10" min="10" style="2" width="13.13"/>
  </cols>
  <sheetData>
    <row r="4" customFormat="false" ht="15" hidden="false" customHeight="false" outlineLevel="0" collapsed="false">
      <c r="A4" s="3" t="s">
        <v>0</v>
      </c>
      <c r="B4" s="3" t="s">
        <v>1</v>
      </c>
      <c r="C4" s="4"/>
      <c r="D4" s="3"/>
      <c r="E4" s="3"/>
      <c r="F4" s="3"/>
      <c r="G4" s="3"/>
      <c r="H4" s="3"/>
      <c r="I4" s="3"/>
      <c r="J4" s="4"/>
    </row>
    <row r="5" customFormat="false" ht="15" hidden="false" customHeight="false" outlineLevel="0" collapsed="false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customFormat="false" ht="15" hidden="false" customHeight="false" outlineLevel="0" collapsed="false">
      <c r="A6" s="3" t="s">
        <v>3</v>
      </c>
      <c r="B6" s="5" t="n">
        <v>452982.711</v>
      </c>
      <c r="C6" s="5"/>
      <c r="D6" s="5"/>
      <c r="E6" s="5"/>
      <c r="F6" s="5" t="n">
        <v>36808.6312</v>
      </c>
      <c r="G6" s="5"/>
      <c r="H6" s="5"/>
      <c r="I6" s="5" t="n">
        <v>80949.3216</v>
      </c>
      <c r="J6" s="5" t="n">
        <v>570740.6638</v>
      </c>
    </row>
    <row r="7" customFormat="false" ht="15" hidden="false" customHeight="false" outlineLevel="0" collapsed="false">
      <c r="A7" s="3" t="s">
        <v>12</v>
      </c>
      <c r="B7" s="5"/>
      <c r="C7" s="5"/>
      <c r="D7" s="5"/>
      <c r="E7" s="5" t="n">
        <v>266366.6804</v>
      </c>
      <c r="F7" s="5"/>
      <c r="G7" s="5"/>
      <c r="H7" s="5"/>
      <c r="I7" s="5"/>
      <c r="J7" s="5" t="n">
        <v>266366.6804</v>
      </c>
    </row>
    <row r="8" customFormat="false" ht="15" hidden="false" customHeight="false" outlineLevel="0" collapsed="false">
      <c r="A8" s="3" t="s">
        <v>4</v>
      </c>
      <c r="B8" s="5"/>
      <c r="C8" s="5" t="n">
        <v>687464.7356</v>
      </c>
      <c r="D8" s="5"/>
      <c r="E8" s="5"/>
      <c r="F8" s="5"/>
      <c r="G8" s="5" t="n">
        <v>13121.73</v>
      </c>
      <c r="H8" s="5"/>
      <c r="I8" s="5" t="n">
        <v>25691.5</v>
      </c>
      <c r="J8" s="5" t="n">
        <v>726277.9656</v>
      </c>
    </row>
    <row r="9" customFormat="false" ht="15" hidden="false" customHeight="false" outlineLevel="0" collapsed="false">
      <c r="A9" s="3" t="s">
        <v>5</v>
      </c>
      <c r="B9" s="5" t="n">
        <v>56268.9988</v>
      </c>
      <c r="C9" s="5" t="n">
        <v>46571.5</v>
      </c>
      <c r="D9" s="5" t="n">
        <v>539270.3108</v>
      </c>
      <c r="E9" s="5"/>
      <c r="F9" s="5" t="n">
        <v>147792.319</v>
      </c>
      <c r="G9" s="5"/>
      <c r="H9" s="5"/>
      <c r="I9" s="5" t="n">
        <v>85646.6476</v>
      </c>
      <c r="J9" s="5" t="n">
        <v>875549.7762</v>
      </c>
    </row>
    <row r="10" customFormat="false" ht="15" hidden="false" customHeight="false" outlineLevel="0" collapsed="false">
      <c r="A10" s="3" t="s">
        <v>13</v>
      </c>
      <c r="B10" s="5" t="n">
        <v>705912.145</v>
      </c>
      <c r="C10" s="5" t="n">
        <v>497953.5</v>
      </c>
      <c r="D10" s="5" t="n">
        <v>612679.6658</v>
      </c>
      <c r="E10" s="5"/>
      <c r="F10" s="5" t="n">
        <v>713622.0394</v>
      </c>
      <c r="G10" s="5" t="n">
        <v>1850154.4868</v>
      </c>
      <c r="H10" s="5" t="n">
        <v>86872.668</v>
      </c>
      <c r="I10" s="5" t="n">
        <v>1697414.7584</v>
      </c>
      <c r="J10" s="5" t="n">
        <v>6164609.2634</v>
      </c>
    </row>
    <row r="11" customFormat="false" ht="15" hidden="false" customHeight="false" outlineLevel="0" collapsed="false">
      <c r="A11" s="3" t="s">
        <v>14</v>
      </c>
      <c r="B11" s="5" t="n">
        <v>17758.7648</v>
      </c>
      <c r="C11" s="5"/>
      <c r="D11" s="5"/>
      <c r="E11" s="5"/>
      <c r="F11" s="5"/>
      <c r="G11" s="5" t="n">
        <v>33571.5</v>
      </c>
      <c r="H11" s="5"/>
      <c r="I11" s="5"/>
      <c r="J11" s="5" t="n">
        <v>51330.2648</v>
      </c>
    </row>
    <row r="12" customFormat="false" ht="15" hidden="false" customHeight="false" outlineLevel="0" collapsed="false">
      <c r="A12" s="3" t="s">
        <v>7</v>
      </c>
      <c r="B12" s="5" t="n">
        <v>9128.16</v>
      </c>
      <c r="C12" s="5"/>
      <c r="D12" s="5" t="n">
        <v>46831.5</v>
      </c>
      <c r="E12" s="5"/>
      <c r="F12" s="5" t="n">
        <v>1225839.84987</v>
      </c>
      <c r="G12" s="5" t="n">
        <v>61886.8</v>
      </c>
      <c r="H12" s="5"/>
      <c r="I12" s="5" t="n">
        <v>50709.9704</v>
      </c>
      <c r="J12" s="5" t="n">
        <v>1394396.28027</v>
      </c>
    </row>
    <row r="13" customFormat="false" ht="15" hidden="false" customHeight="false" outlineLevel="0" collapsed="false">
      <c r="A13" s="3" t="s">
        <v>15</v>
      </c>
      <c r="B13" s="5"/>
      <c r="C13" s="5"/>
      <c r="D13" s="5"/>
      <c r="E13" s="5" t="n">
        <v>195907.854</v>
      </c>
      <c r="F13" s="5"/>
      <c r="G13" s="5"/>
      <c r="H13" s="5"/>
      <c r="I13" s="5" t="n">
        <v>72643</v>
      </c>
      <c r="J13" s="5" t="n">
        <v>268550.854</v>
      </c>
    </row>
    <row r="14" customFormat="false" ht="15" hidden="false" customHeight="false" outlineLevel="0" collapsed="false">
      <c r="A14" s="3" t="s">
        <v>8</v>
      </c>
      <c r="B14" s="5" t="n">
        <v>19070.9888</v>
      </c>
      <c r="C14" s="5"/>
      <c r="D14" s="5"/>
      <c r="E14" s="5"/>
      <c r="F14" s="5"/>
      <c r="G14" s="5" t="n">
        <v>807463.989</v>
      </c>
      <c r="H14" s="5"/>
      <c r="I14" s="5" t="n">
        <v>57593</v>
      </c>
      <c r="J14" s="5" t="n">
        <v>884127.9778</v>
      </c>
    </row>
    <row r="15" customFormat="false" ht="15" hidden="false" customHeight="false" outlineLevel="0" collapsed="false">
      <c r="A15" s="3" t="s">
        <v>9</v>
      </c>
      <c r="B15" s="5"/>
      <c r="C15" s="5"/>
      <c r="D15" s="5"/>
      <c r="E15" s="5"/>
      <c r="F15" s="5"/>
      <c r="G15" s="5" t="n">
        <v>123585.3512</v>
      </c>
      <c r="H15" s="5" t="n">
        <v>559053.4928</v>
      </c>
      <c r="I15" s="5" t="n">
        <v>21603.2</v>
      </c>
      <c r="J15" s="5" t="n">
        <v>704242.044</v>
      </c>
    </row>
    <row r="16" customFormat="false" ht="15" hidden="false" customHeight="false" outlineLevel="0" collapsed="false">
      <c r="A16" s="3" t="s">
        <v>16</v>
      </c>
      <c r="B16" s="5" t="n">
        <v>13811.793</v>
      </c>
      <c r="C16" s="5"/>
      <c r="D16" s="5"/>
      <c r="E16" s="5" t="n">
        <v>665947.74</v>
      </c>
      <c r="F16" s="5"/>
      <c r="G16" s="5"/>
      <c r="H16" s="5"/>
      <c r="I16" s="5" t="n">
        <v>71852.7032</v>
      </c>
      <c r="J16" s="5" t="n">
        <v>751612.2362</v>
      </c>
    </row>
    <row r="17" customFormat="false" ht="15" hidden="false" customHeight="false" outlineLevel="0" collapsed="false">
      <c r="A17" s="3" t="s">
        <v>17</v>
      </c>
      <c r="B17" s="5" t="n">
        <v>9128.16</v>
      </c>
      <c r="C17" s="5"/>
      <c r="D17" s="5" t="n">
        <v>10269.18</v>
      </c>
      <c r="E17" s="5"/>
      <c r="F17" s="5" t="n">
        <v>184271.4502</v>
      </c>
      <c r="G17" s="5"/>
      <c r="H17" s="5"/>
      <c r="I17" s="5" t="n">
        <v>15403.77</v>
      </c>
      <c r="J17" s="5" t="n">
        <v>219072.5602</v>
      </c>
    </row>
    <row r="18" customFormat="false" ht="15" hidden="false" customHeight="false" outlineLevel="0" collapsed="false">
      <c r="A18" s="3" t="s">
        <v>10</v>
      </c>
      <c r="B18" s="5" t="n">
        <v>81102.8232</v>
      </c>
      <c r="C18" s="5"/>
      <c r="D18" s="5" t="n">
        <v>91290.9206</v>
      </c>
      <c r="E18" s="5"/>
      <c r="F18" s="5"/>
      <c r="G18" s="5"/>
      <c r="H18" s="5"/>
      <c r="I18" s="5" t="n">
        <v>1520051.7729</v>
      </c>
      <c r="J18" s="5" t="n">
        <v>1692445.5167</v>
      </c>
    </row>
    <row r="19" customFormat="false" ht="15" hidden="false" customHeight="false" outlineLevel="0" collapsed="false">
      <c r="A19" s="3" t="s">
        <v>11</v>
      </c>
      <c r="B19" s="5" t="n">
        <v>1365164.5446</v>
      </c>
      <c r="C19" s="5" t="n">
        <v>1231989.7356</v>
      </c>
      <c r="D19" s="5" t="n">
        <v>1300341.5772</v>
      </c>
      <c r="E19" s="5" t="n">
        <v>1128222.2744</v>
      </c>
      <c r="F19" s="5" t="n">
        <v>2308334.28967</v>
      </c>
      <c r="G19" s="5" t="n">
        <v>2889783.857</v>
      </c>
      <c r="H19" s="5" t="n">
        <v>645926.1608</v>
      </c>
      <c r="I19" s="5" t="n">
        <v>3699559.6441</v>
      </c>
      <c r="J19" s="5" t="n">
        <v>14569322.08337</v>
      </c>
    </row>
    <row r="22" customFormat="false" ht="15" hidden="false" customHeight="false" outlineLevel="0" collapsed="false">
      <c r="A22" s="3" t="s">
        <v>0</v>
      </c>
      <c r="B22" s="4" t="s">
        <v>1</v>
      </c>
      <c r="C22" s="4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3" t="s">
        <v>18</v>
      </c>
      <c r="B23" s="4" t="s">
        <v>19</v>
      </c>
      <c r="C23" s="4" t="s">
        <v>20</v>
      </c>
      <c r="D23" s="3" t="s">
        <v>21</v>
      </c>
      <c r="E23" s="3" t="s">
        <v>22</v>
      </c>
      <c r="F23" s="3" t="s">
        <v>23</v>
      </c>
      <c r="G23" s="3" t="s">
        <v>24</v>
      </c>
      <c r="H23" s="3" t="s">
        <v>10</v>
      </c>
      <c r="I23" s="3" t="s">
        <v>11</v>
      </c>
    </row>
    <row r="24" customFormat="false" ht="15" hidden="false" customHeight="false" outlineLevel="0" collapsed="false">
      <c r="A24" s="3" t="s">
        <v>25</v>
      </c>
      <c r="B24" s="4" t="n">
        <v>149144.4438</v>
      </c>
      <c r="C24" s="4"/>
      <c r="D24" s="3"/>
      <c r="E24" s="3"/>
      <c r="F24" s="3"/>
      <c r="G24" s="3"/>
      <c r="H24" s="3" t="n">
        <v>16843.65</v>
      </c>
      <c r="I24" s="5" t="n">
        <v>165988.0938</v>
      </c>
    </row>
    <row r="25" customFormat="false" ht="15" hidden="false" customHeight="false" outlineLevel="0" collapsed="false">
      <c r="A25" s="3" t="s">
        <v>26</v>
      </c>
      <c r="B25" s="4"/>
      <c r="C25" s="4"/>
      <c r="D25" s="3"/>
      <c r="E25" s="3" t="n">
        <v>218450.3975</v>
      </c>
      <c r="F25" s="3"/>
      <c r="G25" s="3"/>
      <c r="H25" s="3"/>
      <c r="I25" s="5" t="n">
        <v>218450.3975</v>
      </c>
    </row>
    <row r="26" customFormat="false" ht="15" hidden="false" customHeight="false" outlineLevel="0" collapsed="false">
      <c r="A26" s="3" t="s">
        <v>27</v>
      </c>
      <c r="B26" s="4"/>
      <c r="C26" s="4"/>
      <c r="D26" s="3"/>
      <c r="E26" s="3"/>
      <c r="F26" s="3"/>
      <c r="G26" s="3"/>
      <c r="H26" s="3" t="n">
        <v>274865.4803</v>
      </c>
      <c r="I26" s="5" t="n">
        <v>274865.4803</v>
      </c>
    </row>
    <row r="27" customFormat="false" ht="15" hidden="false" customHeight="false" outlineLevel="0" collapsed="false">
      <c r="A27" s="3" t="s">
        <v>28</v>
      </c>
      <c r="B27" s="4" t="n">
        <v>25546.2025</v>
      </c>
      <c r="C27" s="4" t="n">
        <v>74158.548</v>
      </c>
      <c r="D27" s="3" t="n">
        <v>17930.656</v>
      </c>
      <c r="E27" s="3"/>
      <c r="F27" s="3" t="n">
        <v>66322.4921</v>
      </c>
      <c r="G27" s="3"/>
      <c r="H27" s="3"/>
      <c r="I27" s="5" t="n">
        <v>183957.8986</v>
      </c>
    </row>
    <row r="28" customFormat="false" ht="15" hidden="false" customHeight="false" outlineLevel="0" collapsed="false">
      <c r="A28" s="3" t="s">
        <v>29</v>
      </c>
      <c r="B28" s="4" t="n">
        <v>18222.2992</v>
      </c>
      <c r="C28" s="4"/>
      <c r="D28" s="3"/>
      <c r="E28" s="3"/>
      <c r="F28" s="3"/>
      <c r="G28" s="3"/>
      <c r="H28" s="3" t="n">
        <v>323229.194</v>
      </c>
      <c r="I28" s="5" t="n">
        <v>341451.4932</v>
      </c>
    </row>
    <row r="29" customFormat="false" ht="15" hidden="false" customHeight="false" outlineLevel="0" collapsed="false">
      <c r="A29" s="3" t="s">
        <v>30</v>
      </c>
      <c r="B29" s="4" t="n">
        <v>502692.72175</v>
      </c>
      <c r="C29" s="4" t="n">
        <v>49687.69</v>
      </c>
      <c r="D29" s="3" t="n">
        <v>17703.8224</v>
      </c>
      <c r="E29" s="3"/>
      <c r="F29" s="3" t="n">
        <v>14036.375</v>
      </c>
      <c r="G29" s="3"/>
      <c r="H29" s="3" t="n">
        <v>535759.3333</v>
      </c>
      <c r="I29" s="5" t="n">
        <v>1119879.94245</v>
      </c>
    </row>
    <row r="30" customFormat="false" ht="15" hidden="false" customHeight="false" outlineLevel="0" collapsed="false">
      <c r="A30" s="3" t="s">
        <v>31</v>
      </c>
      <c r="B30" s="4"/>
      <c r="C30" s="4"/>
      <c r="D30" s="3"/>
      <c r="E30" s="3"/>
      <c r="F30" s="3"/>
      <c r="G30" s="3" t="n">
        <v>24303.6</v>
      </c>
      <c r="H30" s="3"/>
      <c r="I30" s="5" t="n">
        <v>24303.6</v>
      </c>
    </row>
    <row r="31" customFormat="false" ht="15" hidden="false" customHeight="false" outlineLevel="0" collapsed="false">
      <c r="A31" s="3" t="s">
        <v>32</v>
      </c>
      <c r="B31" s="4"/>
      <c r="C31" s="4"/>
      <c r="D31" s="3"/>
      <c r="E31" s="3"/>
      <c r="F31" s="3"/>
      <c r="G31" s="3" t="n">
        <v>90249.604</v>
      </c>
      <c r="H31" s="3"/>
      <c r="I31" s="5" t="n">
        <v>90249.604</v>
      </c>
    </row>
    <row r="32" customFormat="false" ht="15" hidden="false" customHeight="false" outlineLevel="0" collapsed="false">
      <c r="A32" s="3" t="s">
        <v>33</v>
      </c>
      <c r="B32" s="4"/>
      <c r="C32" s="4"/>
      <c r="D32" s="3"/>
      <c r="E32" s="3" t="n">
        <v>307015.15786</v>
      </c>
      <c r="F32" s="3"/>
      <c r="G32" s="3"/>
      <c r="H32" s="3" t="n">
        <v>303148.3495</v>
      </c>
      <c r="I32" s="5" t="n">
        <v>610163.50736</v>
      </c>
    </row>
    <row r="33" customFormat="false" ht="15" hidden="false" customHeight="false" outlineLevel="0" collapsed="false">
      <c r="A33" s="3" t="s">
        <v>9</v>
      </c>
      <c r="B33" s="4" t="n">
        <v>18416.728</v>
      </c>
      <c r="C33" s="4"/>
      <c r="D33" s="3"/>
      <c r="E33" s="3"/>
      <c r="F33" s="3"/>
      <c r="G33" s="3" t="n">
        <v>345407.1522</v>
      </c>
      <c r="H33" s="3"/>
      <c r="I33" s="5" t="n">
        <v>363823.8802</v>
      </c>
    </row>
    <row r="34" customFormat="false" ht="15" hidden="false" customHeight="false" outlineLevel="0" collapsed="false">
      <c r="A34" s="3" t="s">
        <v>34</v>
      </c>
      <c r="B34" s="4" t="n">
        <v>16418.432</v>
      </c>
      <c r="C34" s="4"/>
      <c r="D34" s="3" t="n">
        <v>117178.3991</v>
      </c>
      <c r="E34" s="3"/>
      <c r="F34" s="3"/>
      <c r="G34" s="3"/>
      <c r="H34" s="3" t="n">
        <v>15799.3437</v>
      </c>
      <c r="I34" s="5" t="n">
        <v>149396.1748</v>
      </c>
    </row>
    <row r="35" customFormat="false" ht="15" hidden="false" customHeight="false" outlineLevel="0" collapsed="false">
      <c r="A35" s="3" t="s">
        <v>35</v>
      </c>
      <c r="B35" s="4" t="n">
        <v>14676.4337</v>
      </c>
      <c r="C35" s="4"/>
      <c r="D35" s="3" t="n">
        <v>16990.9168</v>
      </c>
      <c r="E35" s="3"/>
      <c r="F35" s="3" t="n">
        <v>48347.5007</v>
      </c>
      <c r="G35" s="3"/>
      <c r="H35" s="3" t="n">
        <v>39261.5</v>
      </c>
      <c r="I35" s="5" t="n">
        <v>119276.3512</v>
      </c>
    </row>
    <row r="36" customFormat="false" ht="15" hidden="false" customHeight="false" outlineLevel="0" collapsed="false">
      <c r="A36" s="3" t="s">
        <v>36</v>
      </c>
      <c r="B36" s="4" t="n">
        <v>60041.5</v>
      </c>
      <c r="C36" s="4"/>
      <c r="D36" s="3"/>
      <c r="E36" s="3"/>
      <c r="F36" s="3"/>
      <c r="G36" s="3"/>
      <c r="H36" s="3"/>
      <c r="I36" s="5" t="n">
        <v>60041.5</v>
      </c>
    </row>
    <row r="37" customFormat="false" ht="15" hidden="false" customHeight="false" outlineLevel="0" collapsed="false">
      <c r="A37" s="3" t="s">
        <v>37</v>
      </c>
      <c r="B37" s="4"/>
      <c r="C37" s="4" t="n">
        <v>87757.718</v>
      </c>
      <c r="D37" s="3"/>
      <c r="E37" s="3"/>
      <c r="F37" s="3" t="n">
        <v>45681.5</v>
      </c>
      <c r="G37" s="3"/>
      <c r="H37" s="3" t="n">
        <v>47341.8856</v>
      </c>
      <c r="I37" s="5" t="n">
        <v>180781.1036</v>
      </c>
    </row>
    <row r="38" customFormat="false" ht="15" hidden="false" customHeight="false" outlineLevel="0" collapsed="false">
      <c r="A38" s="3" t="s">
        <v>38</v>
      </c>
      <c r="B38" s="4"/>
      <c r="C38" s="4" t="n">
        <v>37891.5</v>
      </c>
      <c r="D38" s="3"/>
      <c r="E38" s="3"/>
      <c r="F38" s="3" t="n">
        <v>140102.7773</v>
      </c>
      <c r="G38" s="3"/>
      <c r="H38" s="3"/>
      <c r="I38" s="5" t="n">
        <v>177994.2773</v>
      </c>
    </row>
    <row r="39" customFormat="false" ht="15" hidden="false" customHeight="false" outlineLevel="0" collapsed="false">
      <c r="A39" s="3" t="s">
        <v>39</v>
      </c>
      <c r="B39" s="4"/>
      <c r="C39" s="4"/>
      <c r="D39" s="3" t="n">
        <v>127241.5</v>
      </c>
      <c r="E39" s="3" t="n">
        <v>48660.5996</v>
      </c>
      <c r="F39" s="3"/>
      <c r="G39" s="3"/>
      <c r="H39" s="3" t="n">
        <v>697728.3998</v>
      </c>
      <c r="I39" s="5" t="n">
        <v>873630.4994</v>
      </c>
    </row>
    <row r="40" customFormat="false" ht="15" hidden="false" customHeight="false" outlineLevel="0" collapsed="false">
      <c r="A40" s="3" t="s">
        <v>11</v>
      </c>
      <c r="B40" s="4" t="n">
        <v>805158.76095</v>
      </c>
      <c r="C40" s="4" t="n">
        <v>249495.456</v>
      </c>
      <c r="D40" s="3" t="n">
        <v>297045.2943</v>
      </c>
      <c r="E40" s="3" t="n">
        <v>574126.15496</v>
      </c>
      <c r="F40" s="3" t="n">
        <v>314490.6451</v>
      </c>
      <c r="G40" s="3" t="n">
        <v>459960.3562</v>
      </c>
      <c r="H40" s="3" t="n">
        <v>2253977.1362</v>
      </c>
      <c r="I40" s="5" t="n">
        <v>4954253.80371</v>
      </c>
    </row>
    <row r="41" customFormat="false" ht="15" hidden="false" customHeight="false" outlineLevel="0" collapsed="false">
      <c r="B41" s="2"/>
    </row>
    <row r="44" customFormat="false" ht="15" hidden="false" customHeight="false" outlineLevel="0" collapsed="false">
      <c r="A44" s="3" t="s">
        <v>0</v>
      </c>
      <c r="B44" s="3" t="s">
        <v>1</v>
      </c>
      <c r="C44" s="4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3" t="s">
        <v>18</v>
      </c>
      <c r="B45" s="6" t="s">
        <v>3</v>
      </c>
      <c r="C45" s="4"/>
      <c r="D45" s="4"/>
      <c r="E45" s="4" t="s">
        <v>7</v>
      </c>
      <c r="F45" s="4"/>
      <c r="G45" s="4" t="s">
        <v>9</v>
      </c>
      <c r="H45" s="4" t="s">
        <v>10</v>
      </c>
      <c r="I45" s="3" t="s">
        <v>11</v>
      </c>
    </row>
    <row r="46" customFormat="false" ht="15" hidden="false" customHeight="false" outlineLevel="0" collapsed="false">
      <c r="A46" s="3" t="s">
        <v>25</v>
      </c>
      <c r="B46" s="7" t="n">
        <v>30131.9</v>
      </c>
      <c r="C46" s="4"/>
      <c r="D46" s="3"/>
      <c r="E46" s="3"/>
      <c r="F46" s="3"/>
      <c r="G46" s="3"/>
      <c r="H46" s="3"/>
      <c r="I46" s="8" t="n">
        <v>30131.9</v>
      </c>
    </row>
    <row r="47" customFormat="false" ht="15" hidden="false" customHeight="false" outlineLevel="0" collapsed="false">
      <c r="A47" s="3" t="s">
        <v>40</v>
      </c>
      <c r="B47" s="7" t="n">
        <v>26242.4067</v>
      </c>
      <c r="C47" s="4"/>
      <c r="D47" s="3"/>
      <c r="E47" s="3"/>
      <c r="F47" s="3"/>
      <c r="G47" s="3"/>
      <c r="H47" s="5" t="n">
        <v>192984.2771</v>
      </c>
      <c r="I47" s="8" t="n">
        <v>219226.6838</v>
      </c>
    </row>
    <row r="48" customFormat="false" ht="15" hidden="false" customHeight="false" outlineLevel="0" collapsed="false">
      <c r="A48" s="3" t="s">
        <v>29</v>
      </c>
      <c r="B48" s="7" t="n">
        <v>13048.2142</v>
      </c>
      <c r="C48" s="4"/>
      <c r="D48" s="3"/>
      <c r="E48" s="3"/>
      <c r="F48" s="3"/>
      <c r="G48" s="3"/>
      <c r="H48" s="5"/>
      <c r="I48" s="8" t="n">
        <v>13048.2142</v>
      </c>
    </row>
    <row r="49" customFormat="false" ht="15" hidden="false" customHeight="false" outlineLevel="0" collapsed="false">
      <c r="A49" s="3" t="s">
        <v>41</v>
      </c>
      <c r="B49" s="7" t="n">
        <v>550938.00862</v>
      </c>
      <c r="C49" s="4"/>
      <c r="D49" s="3"/>
      <c r="E49" s="3"/>
      <c r="F49" s="3"/>
      <c r="G49" s="3"/>
      <c r="H49" s="5" t="n">
        <v>118326.0224</v>
      </c>
      <c r="I49" s="8" t="n">
        <v>669264.03102</v>
      </c>
    </row>
    <row r="50" customFormat="false" ht="15" hidden="false" customHeight="false" outlineLevel="0" collapsed="false">
      <c r="A50" s="3" t="s">
        <v>33</v>
      </c>
      <c r="B50" s="7"/>
      <c r="C50" s="4"/>
      <c r="D50" s="3"/>
      <c r="E50" s="5" t="n">
        <v>30678.8763</v>
      </c>
      <c r="F50" s="3"/>
      <c r="G50" s="3"/>
      <c r="H50" s="5"/>
      <c r="I50" s="8" t="n">
        <v>30678.8763</v>
      </c>
    </row>
    <row r="51" customFormat="false" ht="15" hidden="false" customHeight="false" outlineLevel="0" collapsed="false">
      <c r="A51" s="3" t="s">
        <v>9</v>
      </c>
      <c r="B51" s="7"/>
      <c r="C51" s="4"/>
      <c r="D51" s="3"/>
      <c r="E51" s="5"/>
      <c r="F51" s="3"/>
      <c r="G51" s="3" t="n">
        <v>28841.5</v>
      </c>
      <c r="H51" s="5"/>
      <c r="I51" s="8" t="n">
        <v>28841.5</v>
      </c>
    </row>
    <row r="52" customFormat="false" ht="15" hidden="false" customHeight="false" outlineLevel="0" collapsed="false">
      <c r="A52" s="3" t="s">
        <v>42</v>
      </c>
      <c r="B52" s="7"/>
      <c r="C52" s="4"/>
      <c r="D52" s="3"/>
      <c r="E52" s="5" t="n">
        <v>50071.6536</v>
      </c>
      <c r="F52" s="3"/>
      <c r="G52" s="3"/>
      <c r="H52" s="5" t="n">
        <v>19982.96</v>
      </c>
      <c r="I52" s="8" t="n">
        <v>70054.6136</v>
      </c>
    </row>
    <row r="53" customFormat="false" ht="15" hidden="false" customHeight="false" outlineLevel="0" collapsed="false">
      <c r="A53" s="3" t="s">
        <v>11</v>
      </c>
      <c r="B53" s="7" t="n">
        <v>620360.52952</v>
      </c>
      <c r="C53" s="4"/>
      <c r="D53" s="3"/>
      <c r="E53" s="5" t="n">
        <v>80750.5299</v>
      </c>
      <c r="F53" s="3"/>
      <c r="G53" s="3" t="n">
        <v>28841.5</v>
      </c>
      <c r="H53" s="5" t="n">
        <v>331293.2595</v>
      </c>
      <c r="I53" s="8" t="n">
        <v>1061245.81892</v>
      </c>
    </row>
  </sheetData>
  <printOptions headings="false" gridLines="false" gridLinesSet="true" horizontalCentered="false" verticalCentered="false"/>
  <pageMargins left="0.698611111111111" right="0.698611111111111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36" activePane="bottomLeft" state="frozen"/>
      <selection pane="topLeft" activeCell="A1" activeCellId="0" sqref="A1"/>
      <selection pane="bottomLeft" activeCell="H2" activeCellId="0" sqref="H2"/>
    </sheetView>
  </sheetViews>
  <sheetFormatPr defaultColWidth="9.13671875" defaultRowHeight="17.25" zeroHeight="false" outlineLevelRow="0" outlineLevelCol="0"/>
  <cols>
    <col collapsed="false" customWidth="true" hidden="false" outlineLevel="0" max="1" min="1" style="9" width="7.28"/>
    <col collapsed="false" customWidth="false" hidden="false" outlineLevel="0" max="2" min="2" style="9" width="9.13"/>
    <col collapsed="false" customWidth="true" hidden="false" outlineLevel="0" max="3" min="3" style="9" width="30.56"/>
    <col collapsed="false" customWidth="true" hidden="false" outlineLevel="0" max="4" min="4" style="9" width="34.27"/>
    <col collapsed="false" customWidth="true" hidden="false" outlineLevel="0" max="5" min="5" style="9" width="12.13"/>
    <col collapsed="false" customWidth="true" hidden="false" outlineLevel="0" max="6" min="6" style="10" width="6.56"/>
    <col collapsed="false" customWidth="true" hidden="false" outlineLevel="0" max="8" min="7" style="10" width="13.99"/>
    <col collapsed="false" customWidth="true" hidden="false" outlineLevel="0" max="9" min="9" style="11" width="20.99"/>
    <col collapsed="false" customWidth="true" hidden="true" outlineLevel="0" max="10" min="10" style="9" width="24.99"/>
    <col collapsed="false" customWidth="true" hidden="false" outlineLevel="0" max="11" min="11" style="9" width="12.42"/>
    <col collapsed="false" customWidth="true" hidden="false" outlineLevel="0" max="14" min="12" style="9" width="10.85"/>
    <col collapsed="false" customWidth="false" hidden="false" outlineLevel="0" max="257" min="15" style="9" width="9.13"/>
  </cols>
  <sheetData>
    <row r="1" s="17" customFormat="true" ht="17.25" hidden="false" customHeight="false" outlineLevel="0" collapsed="false">
      <c r="A1" s="12" t="s">
        <v>43</v>
      </c>
      <c r="B1" s="12" t="s">
        <v>44</v>
      </c>
      <c r="C1" s="12" t="s">
        <v>45</v>
      </c>
      <c r="D1" s="13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4" t="s">
        <v>51</v>
      </c>
      <c r="J1" s="12" t="s">
        <v>52</v>
      </c>
      <c r="K1" s="15" t="s">
        <v>1</v>
      </c>
      <c r="L1" s="16" t="s">
        <v>53</v>
      </c>
      <c r="M1" s="16" t="s">
        <v>54</v>
      </c>
      <c r="N1" s="16" t="s">
        <v>55</v>
      </c>
    </row>
    <row r="2" customFormat="false" ht="17.25" hidden="false" customHeight="true" outlineLevel="0" collapsed="false">
      <c r="A2" s="18" t="n">
        <v>1</v>
      </c>
      <c r="B2" s="19" t="n">
        <v>9</v>
      </c>
      <c r="C2" s="20" t="s">
        <v>56</v>
      </c>
      <c r="D2" s="20" t="str">
        <f aca="false">VLOOKUP(B2,[2]sales!$B$2:$D$183,3,0)</f>
        <v>Territory Sales Manager </v>
      </c>
      <c r="E2" s="18" t="s">
        <v>57</v>
      </c>
      <c r="F2" s="18" t="s">
        <v>58</v>
      </c>
      <c r="G2" s="18" t="n">
        <f aca="false">VLOOKUP(B2,[9]Staff!B$7:H$245,7,0)</f>
        <v>45090</v>
      </c>
      <c r="H2" s="18" t="n">
        <f aca="false">VLOOKUP(B2,[9]Staff!B$7:P$245,15,0)</f>
        <v>45090</v>
      </c>
      <c r="I2" s="21" t="str">
        <f aca="false">VLOOKUP(B2,[2]sales!$B$2:$G$183,6,0)</f>
        <v>Bulk</v>
      </c>
      <c r="J2" s="22" t="s">
        <v>27</v>
      </c>
      <c r="K2" s="23" t="s">
        <v>10</v>
      </c>
      <c r="L2" s="24" t="n">
        <f aca="false">IF(H2&gt;23335,0,(H2*90%*4.75%))</f>
        <v>0</v>
      </c>
      <c r="M2" s="24" t="n">
        <f aca="false">IF(H2*60%*12%&gt;1800,1974,(H2*60%*13.16%))</f>
        <v>1974</v>
      </c>
      <c r="N2" s="25" t="n">
        <f aca="false">H2+L2+M2</f>
        <v>47064</v>
      </c>
    </row>
    <row r="3" customFormat="false" ht="17.25" hidden="false" customHeight="true" outlineLevel="0" collapsed="false">
      <c r="A3" s="19" t="n">
        <v>2</v>
      </c>
      <c r="B3" s="19" t="n">
        <v>27</v>
      </c>
      <c r="C3" s="20" t="s">
        <v>59</v>
      </c>
      <c r="D3" s="20" t="str">
        <f aca="false">VLOOKUP(B3,[2]sales!$B$2:$D$183,3,0)</f>
        <v>Sales Manager</v>
      </c>
      <c r="E3" s="18" t="s">
        <v>60</v>
      </c>
      <c r="F3" s="18" t="s">
        <v>61</v>
      </c>
      <c r="G3" s="18" t="n">
        <f aca="false">VLOOKUP(B3,[9]Staff!B$7:H$245,7,0)</f>
        <v>66250</v>
      </c>
      <c r="H3" s="18" t="n">
        <f aca="false">VLOOKUP(B3,[9]Staff!B$7:P$245,15,0)</f>
        <v>66250</v>
      </c>
      <c r="I3" s="21" t="str">
        <f aca="false">VLOOKUP(B3,[2]sales!$B$2:$G$183,6,0)</f>
        <v>Bulk</v>
      </c>
      <c r="J3" s="22" t="s">
        <v>27</v>
      </c>
      <c r="K3" s="23" t="s">
        <v>10</v>
      </c>
      <c r="L3" s="24" t="n">
        <f aca="false">IF(H3&gt;23335,0,(H3*90%*4.75%))</f>
        <v>0</v>
      </c>
      <c r="M3" s="24" t="n">
        <f aca="false">IF(H3*60%*12%&gt;1800,1974,(H3*60%*13.16%))</f>
        <v>1974</v>
      </c>
      <c r="N3" s="25" t="n">
        <f aca="false">H3+L3+M3</f>
        <v>68224</v>
      </c>
    </row>
    <row r="4" customFormat="false" ht="17.25" hidden="false" customHeight="true" outlineLevel="0" collapsed="false">
      <c r="A4" s="18" t="n">
        <v>3</v>
      </c>
      <c r="B4" s="19" t="n">
        <v>1667</v>
      </c>
      <c r="C4" s="26" t="s">
        <v>62</v>
      </c>
      <c r="D4" s="20" t="str">
        <f aca="false">VLOOKUP(B4,[2]sales!$B$2:$D$183,3,0)</f>
        <v>Territory Sales Manager </v>
      </c>
      <c r="E4" s="20" t="s">
        <v>63</v>
      </c>
      <c r="F4" s="18" t="s">
        <v>64</v>
      </c>
      <c r="G4" s="18" t="n">
        <f aca="false">VLOOKUP(B4,[9]Staff!B$7:H$245,7,0)</f>
        <v>42090</v>
      </c>
      <c r="H4" s="18" t="n">
        <f aca="false">VLOOKUP(B4,[9]Staff!B$7:P$245,15,0)</f>
        <v>42090</v>
      </c>
      <c r="I4" s="21" t="str">
        <f aca="false">VLOOKUP(B4,[2]sales!$B$2:$G$183,6,0)</f>
        <v>Bulk</v>
      </c>
      <c r="J4" s="22" t="s">
        <v>27</v>
      </c>
      <c r="K4" s="23" t="s">
        <v>10</v>
      </c>
      <c r="L4" s="24" t="n">
        <f aca="false">IF(H4&gt;23335,0,(H4*90%*4.75%))</f>
        <v>0</v>
      </c>
      <c r="M4" s="24" t="n">
        <f aca="false">IF(H4*60%*12%&gt;1800,1974,(H4*60%*13.16%))</f>
        <v>1974</v>
      </c>
      <c r="N4" s="25" t="n">
        <f aca="false">H4+L4+M4</f>
        <v>44064</v>
      </c>
    </row>
    <row r="5" customFormat="false" ht="17.25" hidden="false" customHeight="true" outlineLevel="0" collapsed="false">
      <c r="A5" s="19" t="n">
        <v>4</v>
      </c>
      <c r="B5" s="19" t="n">
        <v>4553</v>
      </c>
      <c r="C5" s="20" t="s">
        <v>65</v>
      </c>
      <c r="D5" s="20" t="str">
        <f aca="false">VLOOKUP(B5,[2]sales!$B$2:$D$183,3,0)</f>
        <v>Territory Sales Executive</v>
      </c>
      <c r="E5" s="18" t="s">
        <v>66</v>
      </c>
      <c r="F5" s="18" t="s">
        <v>67</v>
      </c>
      <c r="G5" s="18" t="n">
        <f aca="false">VLOOKUP(B5,[9]Staff!B$7:H$245,7,0)</f>
        <v>17000</v>
      </c>
      <c r="H5" s="18" t="n">
        <f aca="false">VLOOKUP(B5,[9]Staff!B$7:P$245,15,0)</f>
        <v>17000</v>
      </c>
      <c r="I5" s="21" t="str">
        <f aca="false">VLOOKUP(B5,[2]sales!$B$2:$G$183,6,0)</f>
        <v>Bulk</v>
      </c>
      <c r="J5" s="22" t="s">
        <v>27</v>
      </c>
      <c r="K5" s="23" t="s">
        <v>10</v>
      </c>
      <c r="L5" s="24" t="n">
        <f aca="false">IF(H5&gt;23335,0,(H5*90%*4.75%))</f>
        <v>726.75</v>
      </c>
      <c r="M5" s="24" t="n">
        <f aca="false">IF(H5*60%*12%&gt;1800,1974,(H5*60%*13.16%))</f>
        <v>1342.32</v>
      </c>
      <c r="N5" s="25" t="n">
        <f aca="false">H5+L5+M5</f>
        <v>19069.07</v>
      </c>
    </row>
    <row r="6" customFormat="false" ht="17.25" hidden="false" customHeight="true" outlineLevel="0" collapsed="false">
      <c r="A6" s="18" t="n">
        <v>5</v>
      </c>
      <c r="B6" s="19" t="n">
        <v>31</v>
      </c>
      <c r="C6" s="20" t="s">
        <v>68</v>
      </c>
      <c r="D6" s="20" t="str">
        <f aca="false">VLOOKUP(B6,[2]sales!$B$2:$D$183,3,0)</f>
        <v>Area Sales Manager</v>
      </c>
      <c r="E6" s="18" t="s">
        <v>69</v>
      </c>
      <c r="F6" s="18" t="s">
        <v>64</v>
      </c>
      <c r="G6" s="18" t="n">
        <f aca="false">VLOOKUP(B6,[9]Staff!B$7:H$245,7,0)</f>
        <v>44490</v>
      </c>
      <c r="H6" s="18" t="n">
        <f aca="false">VLOOKUP(B6,[9]Staff!B$7:P$245,15,0)</f>
        <v>44490</v>
      </c>
      <c r="I6" s="21" t="str">
        <f aca="false">VLOOKUP(B6,[2]sales!$B$2:$G$183,6,0)</f>
        <v>Tamilnadu</v>
      </c>
      <c r="J6" s="22" t="s">
        <v>39</v>
      </c>
      <c r="K6" s="23" t="s">
        <v>10</v>
      </c>
      <c r="L6" s="24" t="n">
        <f aca="false">IF(H6&gt;23335,0,(H6*90%*4.75%))</f>
        <v>0</v>
      </c>
      <c r="M6" s="24" t="n">
        <f aca="false">IF(H6*60%*12%&gt;1800,1974,(H6*60%*13.16%))</f>
        <v>1974</v>
      </c>
      <c r="N6" s="25" t="n">
        <f aca="false">H6+L6+M6</f>
        <v>46464</v>
      </c>
    </row>
    <row r="7" customFormat="false" ht="17.25" hidden="false" customHeight="true" outlineLevel="0" collapsed="false">
      <c r="A7" s="19" t="n">
        <v>6</v>
      </c>
      <c r="B7" s="18" t="n">
        <v>4528</v>
      </c>
      <c r="C7" s="27" t="s">
        <v>70</v>
      </c>
      <c r="D7" s="20" t="str">
        <f aca="false">VLOOKUP(B7,[2]sales!$B$2:$D$183,3,0)</f>
        <v>Territory Sales Executive</v>
      </c>
      <c r="E7" s="18" t="s">
        <v>71</v>
      </c>
      <c r="F7" s="18" t="s">
        <v>67</v>
      </c>
      <c r="G7" s="18" t="n">
        <f aca="false">VLOOKUP(B7,'[5]Hosur-Apr''18'!B$5:H$127,7,0)</f>
        <v>16000</v>
      </c>
      <c r="H7" s="18" t="n">
        <f aca="false">VLOOKUP(B7,'[5]Hosur-Apr''18'!B$5:M$127,12,0)</f>
        <v>16000</v>
      </c>
      <c r="I7" s="21" t="str">
        <f aca="false">VLOOKUP(B7,[2]sales!$B$2:$G$183,6,0)</f>
        <v>Tamilnadu</v>
      </c>
      <c r="J7" s="22" t="s">
        <v>39</v>
      </c>
      <c r="K7" s="23" t="s">
        <v>7</v>
      </c>
      <c r="L7" s="25" t="n">
        <f aca="false">IF(H7&gt;21000,0,(H7*4.75%))</f>
        <v>760</v>
      </c>
      <c r="M7" s="25" t="n">
        <f aca="false">IF(H7*70%*12%&gt;1800,1974,(H7*70%*12%))</f>
        <v>1344</v>
      </c>
      <c r="N7" s="25" t="n">
        <f aca="false">H7+L7+M7</f>
        <v>18104</v>
      </c>
    </row>
    <row r="8" customFormat="false" ht="17.25" hidden="false" customHeight="true" outlineLevel="0" collapsed="false">
      <c r="A8" s="18" t="n">
        <v>7</v>
      </c>
      <c r="B8" s="18" t="n">
        <v>4580</v>
      </c>
      <c r="C8" s="27" t="s">
        <v>72</v>
      </c>
      <c r="D8" s="20" t="str">
        <f aca="false">VLOOKUP(B8,[2]sales!$B$2:$D$183,3,0)</f>
        <v>Territory Sales Executive</v>
      </c>
      <c r="E8" s="18" t="s">
        <v>73</v>
      </c>
      <c r="F8" s="18" t="s">
        <v>67</v>
      </c>
      <c r="G8" s="18" t="n">
        <f aca="false">VLOOKUP(B8,'[5]Hosur-Apr''18'!B$5:H$127,7,0)</f>
        <v>21100</v>
      </c>
      <c r="H8" s="18" t="n">
        <f aca="false">VLOOKUP(B8,'[5]Hosur-Apr''18'!B$5:M$127,12,0)</f>
        <v>21100</v>
      </c>
      <c r="I8" s="21" t="str">
        <f aca="false">VLOOKUP(B8,[2]sales!$B$2:$G$183,6,0)</f>
        <v>Tamilnadu</v>
      </c>
      <c r="J8" s="22" t="s">
        <v>39</v>
      </c>
      <c r="K8" s="23" t="s">
        <v>7</v>
      </c>
      <c r="L8" s="25" t="n">
        <f aca="false">IF(H8&gt;21000,0,(H8*4.75%))</f>
        <v>0</v>
      </c>
      <c r="M8" s="25" t="n">
        <f aca="false">IF(H8*70%*12%&gt;1800,1974,(H8*70%*12%))</f>
        <v>1772.4</v>
      </c>
      <c r="N8" s="25" t="n">
        <f aca="false">H8+L8+M8</f>
        <v>22872.4</v>
      </c>
    </row>
    <row r="9" customFormat="false" ht="17.25" hidden="false" customHeight="true" outlineLevel="0" collapsed="false">
      <c r="A9" s="19" t="n">
        <v>8</v>
      </c>
      <c r="B9" s="19" t="n">
        <v>36</v>
      </c>
      <c r="C9" s="20" t="s">
        <v>74</v>
      </c>
      <c r="D9" s="20" t="str">
        <f aca="false">VLOOKUP(B9,[2]sales!$B$2:$D$183,3,0)</f>
        <v>Territory Sales Executive</v>
      </c>
      <c r="E9" s="18" t="s">
        <v>75</v>
      </c>
      <c r="F9" s="18" t="s">
        <v>67</v>
      </c>
      <c r="G9" s="18" t="n">
        <f aca="false">VLOOKUP(B9,[9]Staff!B$7:H$245,7,0)</f>
        <v>28690</v>
      </c>
      <c r="H9" s="18" t="n">
        <f aca="false">VLOOKUP(B9,[9]Staff!B$7:P$245,15,0)</f>
        <v>28690</v>
      </c>
      <c r="I9" s="21" t="str">
        <f aca="false">VLOOKUP(B9,[2]sales!$B$2:$G$183,6,0)</f>
        <v>CPD North</v>
      </c>
      <c r="J9" s="22" t="s">
        <v>76</v>
      </c>
      <c r="K9" s="23" t="s">
        <v>10</v>
      </c>
      <c r="L9" s="24" t="n">
        <f aca="false">IF(H9&gt;23335,0,(H9*90%*4.75%))</f>
        <v>0</v>
      </c>
      <c r="M9" s="24" t="n">
        <f aca="false">IF(H9*60%*12%&gt;1800,1974,(H9*60%*13.16%))</f>
        <v>1974</v>
      </c>
      <c r="N9" s="25" t="n">
        <f aca="false">H9+L9+M9</f>
        <v>30664</v>
      </c>
    </row>
    <row r="10" customFormat="false" ht="17.25" hidden="false" customHeight="true" outlineLevel="0" collapsed="false">
      <c r="A10" s="18" t="n">
        <v>9</v>
      </c>
      <c r="B10" s="19" t="n">
        <v>4583</v>
      </c>
      <c r="C10" s="20" t="s">
        <v>77</v>
      </c>
      <c r="D10" s="20" t="str">
        <f aca="false">VLOOKUP(B10,[2]sales!$B$2:$D$183,3,0)</f>
        <v>Sr. Territory Sales Executive</v>
      </c>
      <c r="E10" s="18" t="s">
        <v>78</v>
      </c>
      <c r="F10" s="18" t="s">
        <v>79</v>
      </c>
      <c r="G10" s="18" t="n">
        <f aca="false">VLOOKUP(B10,'[6]staff klmsy (2)'!$B$7:I$84,8,0)</f>
        <v>25500</v>
      </c>
      <c r="H10" s="18" t="n">
        <f aca="false">VLOOKUP(B10,'[6]staff klmsy (2)'!B$7:R$84,17,0)</f>
        <v>25500</v>
      </c>
      <c r="I10" s="21" t="str">
        <f aca="false">VLOOKUP(B10,[2]sales!$B$2:$G$183,6,0)</f>
        <v>CPD North</v>
      </c>
      <c r="J10" s="22" t="s">
        <v>76</v>
      </c>
      <c r="K10" s="23" t="s">
        <v>8</v>
      </c>
      <c r="L10" s="24" t="n">
        <f aca="false">IF(H10&gt;23335,0,(H10*90%*4.75%))</f>
        <v>0</v>
      </c>
      <c r="M10" s="24" t="n">
        <f aca="false">IF(H10*60%*12%&gt;1800,1974,(H10*60%*13.16%))</f>
        <v>1974</v>
      </c>
      <c r="N10" s="25" t="n">
        <f aca="false">H10+L10+M10</f>
        <v>27474</v>
      </c>
    </row>
    <row r="11" customFormat="false" ht="17.25" hidden="false" customHeight="false" outlineLevel="0" collapsed="false">
      <c r="A11" s="19" t="n">
        <v>10</v>
      </c>
      <c r="B11" s="19" t="n">
        <v>259</v>
      </c>
      <c r="C11" s="20" t="s">
        <v>80</v>
      </c>
      <c r="D11" s="20" t="str">
        <f aca="false">VLOOKUP(B11,[2]sales!$B$2:$D$183,3,0)</f>
        <v>Area Sales Manager</v>
      </c>
      <c r="E11" s="18" t="s">
        <v>81</v>
      </c>
      <c r="F11" s="18" t="s">
        <v>61</v>
      </c>
      <c r="G11" s="18" t="n">
        <f aca="false">VLOOKUP(B11,'[4]salary aroor'!B$7:H$52,7,0)</f>
        <v>44400</v>
      </c>
      <c r="H11" s="18" t="n">
        <f aca="false">VLOOKUP(B11,'[4]salary aroor'!B$7:L$52,11,0)</f>
        <v>44400</v>
      </c>
      <c r="I11" s="21" t="str">
        <f aca="false">VLOOKUP(B11,[2]sales!$B$2:$G$183,6,0)</f>
        <v>CPD South</v>
      </c>
      <c r="J11" s="22" t="s">
        <v>76</v>
      </c>
      <c r="K11" s="23" t="s">
        <v>4</v>
      </c>
      <c r="L11" s="24" t="n">
        <f aca="false">IF(H11&gt;23335,0,(H11*90%*4.75%))</f>
        <v>0</v>
      </c>
      <c r="M11" s="24" t="n">
        <f aca="false">IF(H11*60%*12%&gt;1800,1974,(H11*60%*13.16%))</f>
        <v>1974</v>
      </c>
      <c r="N11" s="25" t="n">
        <f aca="false">H11+L11+M11</f>
        <v>46374</v>
      </c>
    </row>
    <row r="12" customFormat="false" ht="17.25" hidden="false" customHeight="false" outlineLevel="0" collapsed="false">
      <c r="A12" s="18" t="n">
        <v>11</v>
      </c>
      <c r="B12" s="19" t="n">
        <v>285</v>
      </c>
      <c r="C12" s="20" t="s">
        <v>82</v>
      </c>
      <c r="D12" s="20" t="str">
        <f aca="false">VLOOKUP(B12,[2]sales!$B$2:$D$183,3,0)</f>
        <v>Sr. Territory Sales Executive</v>
      </c>
      <c r="E12" s="18" t="s">
        <v>83</v>
      </c>
      <c r="F12" s="18" t="s">
        <v>79</v>
      </c>
      <c r="G12" s="18" t="n">
        <f aca="false">VLOOKUP(B12,'[4]salary aroor'!B$7:H$52,7,0)</f>
        <v>29310</v>
      </c>
      <c r="H12" s="18" t="n">
        <f aca="false">VLOOKUP(B12,'[4]salary aroor'!B$7:L$52,11,0)</f>
        <v>29310</v>
      </c>
      <c r="I12" s="21" t="str">
        <f aca="false">VLOOKUP(B12,[2]sales!$B$2:$G$183,6,0)</f>
        <v>Bakery South</v>
      </c>
      <c r="J12" s="22" t="s">
        <v>84</v>
      </c>
      <c r="K12" s="23" t="s">
        <v>4</v>
      </c>
      <c r="L12" s="24" t="n">
        <f aca="false">IF(H12&gt;23335,0,(H12*90%*4.75%))</f>
        <v>0</v>
      </c>
      <c r="M12" s="24" t="n">
        <f aca="false">IF(H12*60%*12%&gt;1800,1974,(H12*60%*13.16%))</f>
        <v>1974</v>
      </c>
      <c r="N12" s="25" t="n">
        <f aca="false">H12+L12+M12</f>
        <v>31284</v>
      </c>
    </row>
    <row r="13" customFormat="false" ht="17.25" hidden="false" customHeight="true" outlineLevel="0" collapsed="false">
      <c r="A13" s="19" t="n">
        <v>12</v>
      </c>
      <c r="B13" s="19" t="n">
        <v>555</v>
      </c>
      <c r="C13" s="20" t="s">
        <v>85</v>
      </c>
      <c r="D13" s="20" t="str">
        <f aca="false">VLOOKUP(B13,[2]sales!$B$2:$D$183,3,0)</f>
        <v>Sr. Territory Sales Executive</v>
      </c>
      <c r="E13" s="18" t="s">
        <v>86</v>
      </c>
      <c r="F13" s="18" t="s">
        <v>87</v>
      </c>
      <c r="G13" s="18" t="n">
        <f aca="false">VLOOKUP(B13,'[3]april (2)'!B$8:H$132,7,0)</f>
        <v>29910</v>
      </c>
      <c r="H13" s="18" t="n">
        <f aca="false">VLOOKUP(B13,'[3]april (2)'!B$8:N$132,13,0)</f>
        <v>29910</v>
      </c>
      <c r="I13" s="21" t="str">
        <f aca="false">VLOOKUP(B13,[2]sales!$B$2:$G$183,6,0)</f>
        <v>Institution Sales</v>
      </c>
      <c r="J13" s="22" t="s">
        <v>25</v>
      </c>
      <c r="K13" s="23" t="s">
        <v>3</v>
      </c>
      <c r="L13" s="24" t="n">
        <f aca="false">IF(H13&gt;23335,0,(H13*90%*4.75%))</f>
        <v>0</v>
      </c>
      <c r="M13" s="24" t="n">
        <f aca="false">IF(H13*60%*12%&gt;1800,1974,(H13*60%*13.16%))</f>
        <v>1974</v>
      </c>
      <c r="N13" s="25" t="n">
        <f aca="false">H13+L13+M13</f>
        <v>31884</v>
      </c>
    </row>
    <row r="14" customFormat="false" ht="19.5" hidden="false" customHeight="true" outlineLevel="0" collapsed="false">
      <c r="A14" s="18" t="n">
        <v>13</v>
      </c>
      <c r="B14" s="19" t="n">
        <v>567</v>
      </c>
      <c r="C14" s="20" t="s">
        <v>88</v>
      </c>
      <c r="D14" s="20" t="str">
        <f aca="false">VLOOKUP(B14,[2]sales!$B$2:$D$183,3,0)</f>
        <v>Area Sales Manager</v>
      </c>
      <c r="E14" s="18" t="s">
        <v>89</v>
      </c>
      <c r="F14" s="18" t="s">
        <v>64</v>
      </c>
      <c r="G14" s="18" t="n">
        <f aca="false">VLOOKUP(B14,'[3]april (2)'!B$8:H$132,7,0)</f>
        <v>41300</v>
      </c>
      <c r="H14" s="18" t="n">
        <f aca="false">VLOOKUP(B14,'[3]april (2)'!B$8:N$132,13,0)</f>
        <v>41300</v>
      </c>
      <c r="I14" s="21" t="str">
        <f aca="false">VLOOKUP(B14,[2]sales!$B$2:$G$183,6,0)</f>
        <v>Institution Sales</v>
      </c>
      <c r="J14" s="22" t="s">
        <v>25</v>
      </c>
      <c r="K14" s="23" t="s">
        <v>3</v>
      </c>
      <c r="L14" s="24" t="n">
        <f aca="false">IF(H14&gt;23335,0,(H14*90%*4.75%))</f>
        <v>0</v>
      </c>
      <c r="M14" s="24" t="n">
        <f aca="false">IF(H14*60%*12%&gt;1800,1974,(H14*60%*13.16%))</f>
        <v>1974</v>
      </c>
      <c r="N14" s="25" t="n">
        <f aca="false">H14+L14+M14</f>
        <v>43274</v>
      </c>
    </row>
    <row r="15" customFormat="false" ht="17.25" hidden="false" customHeight="true" outlineLevel="0" collapsed="false">
      <c r="A15" s="19" t="n">
        <v>14</v>
      </c>
      <c r="B15" s="19" t="n">
        <v>731</v>
      </c>
      <c r="C15" s="20" t="s">
        <v>90</v>
      </c>
      <c r="D15" s="20" t="str">
        <f aca="false">VLOOKUP(B15,[2]sales!$B$2:$D$183,3,0)</f>
        <v>Sr. Territory Sales Executive</v>
      </c>
      <c r="E15" s="18" t="s">
        <v>91</v>
      </c>
      <c r="F15" s="18" t="s">
        <v>79</v>
      </c>
      <c r="G15" s="18" t="n">
        <f aca="false">VLOOKUP(B15,[9]Staff!B$7:H$245,7,0)</f>
        <v>19780</v>
      </c>
      <c r="H15" s="18" t="n">
        <f aca="false">VLOOKUP(B15,[9]Staff!B$7:P$245,15,0)</f>
        <v>19780</v>
      </c>
      <c r="I15" s="21" t="str">
        <f aca="false">VLOOKUP(B15,[2]sales!$B$2:$G$183,6,0)</f>
        <v>Bulk</v>
      </c>
      <c r="J15" s="22" t="s">
        <v>27</v>
      </c>
      <c r="K15" s="23" t="s">
        <v>10</v>
      </c>
      <c r="L15" s="24" t="n">
        <f aca="false">IF(H15&gt;23335,0,(H15*90%*4.75%))</f>
        <v>845.595</v>
      </c>
      <c r="M15" s="24" t="n">
        <f aca="false">IF(H15*60%*12%&gt;1800,1974,(H15*60%*13.16%))</f>
        <v>1561.8288</v>
      </c>
      <c r="N15" s="25" t="n">
        <f aca="false">H15+L15+M15</f>
        <v>22187.4238</v>
      </c>
    </row>
    <row r="16" customFormat="false" ht="17.25" hidden="false" customHeight="true" outlineLevel="0" collapsed="false">
      <c r="A16" s="18" t="n">
        <v>15</v>
      </c>
      <c r="B16" s="19" t="n">
        <v>808</v>
      </c>
      <c r="C16" s="26" t="s">
        <v>92</v>
      </c>
      <c r="D16" s="20" t="str">
        <f aca="false">VLOOKUP(B16,[2]sales!$B$2:$D$183,3,0)</f>
        <v>Territory Sales Executive</v>
      </c>
      <c r="E16" s="18" t="s">
        <v>93</v>
      </c>
      <c r="F16" s="18" t="s">
        <v>67</v>
      </c>
      <c r="G16" s="18" t="n">
        <f aca="false">VLOOKUP(B16,[9]Staff!B$7:H$245,7,0)</f>
        <v>19140</v>
      </c>
      <c r="H16" s="18" t="n">
        <f aca="false">VLOOKUP(B16,[9]Staff!B$7:P$245,15,0)</f>
        <v>19140</v>
      </c>
      <c r="I16" s="21" t="str">
        <f aca="false">VLOOKUP(B16,[2]sales!$B$2:$G$183,6,0)</f>
        <v>Institution Sales</v>
      </c>
      <c r="J16" s="22" t="s">
        <v>25</v>
      </c>
      <c r="K16" s="23" t="s">
        <v>10</v>
      </c>
      <c r="L16" s="24" t="n">
        <f aca="false">IF(H16&gt;23335,0,(H16*90%*4.75%))</f>
        <v>818.235</v>
      </c>
      <c r="M16" s="24" t="n">
        <f aca="false">IF(H16*60%*12%&gt;1800,1974,(H16*60%*13.16%))</f>
        <v>1511.2944</v>
      </c>
      <c r="N16" s="25" t="n">
        <f aca="false">H16+L16+M16</f>
        <v>21469.5294</v>
      </c>
    </row>
    <row r="17" customFormat="false" ht="17.25" hidden="false" customHeight="true" outlineLevel="0" collapsed="false">
      <c r="A17" s="19" t="n">
        <v>16</v>
      </c>
      <c r="B17" s="19" t="n">
        <v>904</v>
      </c>
      <c r="C17" s="20" t="s">
        <v>94</v>
      </c>
      <c r="D17" s="20" t="str">
        <f aca="false">VLOOKUP(B17,[2]sales!$B$2:$D$183,3,0)</f>
        <v>Territory Sales Manager </v>
      </c>
      <c r="E17" s="18" t="s">
        <v>95</v>
      </c>
      <c r="F17" s="18" t="s">
        <v>58</v>
      </c>
      <c r="G17" s="18" t="n">
        <f aca="false">VLOOKUP(B17,'[8]Tasty Toast-Apr''18'!B$5:H$61,7,0)</f>
        <v>26990</v>
      </c>
      <c r="H17" s="18" t="n">
        <f aca="false">VLOOKUP(B17,'[8]Tasty Toast-Apr''18'!B$5:N$61,13,0)</f>
        <v>26990</v>
      </c>
      <c r="I17" s="21" t="str">
        <f aca="false">VLOOKUP(B17,[2]sales!$B$2:$G$183,6,0)</f>
        <v>Bakery South</v>
      </c>
      <c r="J17" s="22" t="s">
        <v>84</v>
      </c>
      <c r="K17" s="23" t="s">
        <v>5</v>
      </c>
      <c r="L17" s="25" t="n">
        <f aca="false">IF(H17&gt;21000,0,(H17*4.75%))</f>
        <v>0</v>
      </c>
      <c r="M17" s="25" t="n">
        <f aca="false">IF(H17*70%*12%&gt;1800,1974,(H17*70%*12%))</f>
        <v>1974</v>
      </c>
      <c r="N17" s="25" t="n">
        <f aca="false">H17+L17+M17</f>
        <v>28964</v>
      </c>
    </row>
    <row r="18" customFormat="false" ht="17.25" hidden="false" customHeight="true" outlineLevel="0" collapsed="false">
      <c r="A18" s="18" t="n">
        <v>17</v>
      </c>
      <c r="B18" s="19" t="n">
        <v>1056</v>
      </c>
      <c r="C18" s="20" t="s">
        <v>96</v>
      </c>
      <c r="D18" s="20" t="str">
        <f aca="false">VLOOKUP(B18,[2]sales!$B$2:$D$183,3,0)</f>
        <v>Sr. Territory Sales Executive</v>
      </c>
      <c r="E18" s="18" t="s">
        <v>97</v>
      </c>
      <c r="F18" s="18" t="s">
        <v>79</v>
      </c>
      <c r="G18" s="18" t="n">
        <f aca="false">VLOOKUP(B18,[9]Staff!B$7:H$245,7,0)</f>
        <v>19020</v>
      </c>
      <c r="H18" s="18" t="n">
        <f aca="false">VLOOKUP(B18,[9]Staff!B$7:P$245,15,0)</f>
        <v>19020</v>
      </c>
      <c r="I18" s="21" t="str">
        <f aca="false">VLOOKUP(B18,[2]sales!$B$2:$G$183,6,0)</f>
        <v>Bulk</v>
      </c>
      <c r="J18" s="22" t="s">
        <v>27</v>
      </c>
      <c r="K18" s="23" t="s">
        <v>10</v>
      </c>
      <c r="L18" s="24" t="n">
        <f aca="false">IF(H18&gt;23335,0,(H18*90%*4.75%))</f>
        <v>813.105</v>
      </c>
      <c r="M18" s="24" t="n">
        <f aca="false">IF(H18*60%*12%&gt;1800,1974,(H18*60%*13.16%))</f>
        <v>1501.8192</v>
      </c>
      <c r="N18" s="25" t="n">
        <f aca="false">H18+L18+M18</f>
        <v>21334.9242</v>
      </c>
    </row>
    <row r="19" customFormat="false" ht="19.5" hidden="false" customHeight="true" outlineLevel="0" collapsed="false">
      <c r="A19" s="19" t="n">
        <v>18</v>
      </c>
      <c r="B19" s="28" t="n">
        <v>1210</v>
      </c>
      <c r="C19" s="29" t="s">
        <v>98</v>
      </c>
      <c r="D19" s="30" t="s">
        <v>99</v>
      </c>
      <c r="E19" s="31" t="s">
        <v>100</v>
      </c>
      <c r="F19" s="31" t="s">
        <v>64</v>
      </c>
      <c r="G19" s="18" t="n">
        <f aca="false">VLOOKUP(B19,'[6]staff klmsy (2)'!$B$7:I$84,8,0)</f>
        <v>38120</v>
      </c>
      <c r="H19" s="18" t="n">
        <f aca="false">VLOOKUP(B19,'[6]staff klmsy (2)'!B$7:R$84,17,0)</f>
        <v>38120</v>
      </c>
      <c r="I19" s="22" t="s">
        <v>27</v>
      </c>
      <c r="J19" s="22" t="s">
        <v>27</v>
      </c>
      <c r="K19" s="23" t="s">
        <v>8</v>
      </c>
      <c r="L19" s="24" t="n">
        <f aca="false">IF(H19&gt;23335,0,(H19*90%*4.75%))</f>
        <v>0</v>
      </c>
      <c r="M19" s="24" t="n">
        <f aca="false">IF(H19*60%*12%&gt;1800,1974,(H19*60%*13.16%))</f>
        <v>1974</v>
      </c>
      <c r="N19" s="25" t="n">
        <f aca="false">H19+L19+M19</f>
        <v>40094</v>
      </c>
    </row>
    <row r="20" customFormat="false" ht="20.25" hidden="false" customHeight="true" outlineLevel="0" collapsed="false">
      <c r="A20" s="18" t="n">
        <v>19</v>
      </c>
      <c r="B20" s="19" t="n">
        <v>1213</v>
      </c>
      <c r="C20" s="20" t="s">
        <v>101</v>
      </c>
      <c r="D20" s="20" t="str">
        <f aca="false">VLOOKUP(B20,[2]sales!$B$2:$D$183,3,0)</f>
        <v>Territory Sales Executive</v>
      </c>
      <c r="E20" s="18" t="s">
        <v>102</v>
      </c>
      <c r="F20" s="18" t="s">
        <v>79</v>
      </c>
      <c r="G20" s="18" t="n">
        <f aca="false">VLOOKUP(B20,'[6]staff klmsy (2)'!$B$7:I$84,8,0)</f>
        <v>17450</v>
      </c>
      <c r="H20" s="18" t="n">
        <f aca="false">VLOOKUP(B20,'[6]staff klmsy (2)'!B$7:R$84,17,0)</f>
        <v>17450</v>
      </c>
      <c r="I20" s="21" t="str">
        <f aca="false">VLOOKUP(B20,[2]sales!$B$2:$G$183,6,0)</f>
        <v>Bakery North</v>
      </c>
      <c r="J20" s="20" t="s">
        <v>103</v>
      </c>
      <c r="K20" s="23" t="s">
        <v>8</v>
      </c>
      <c r="L20" s="24" t="n">
        <f aca="false">IF(H20&gt;23335,0,(H20*90%*4.75%))</f>
        <v>745.9875</v>
      </c>
      <c r="M20" s="24" t="n">
        <f aca="false">IF(H20*60%*12%&gt;1800,1974,(H20*60%*13.16%))</f>
        <v>1377.852</v>
      </c>
      <c r="N20" s="25" t="n">
        <f aca="false">H20+L20+M20</f>
        <v>19573.8395</v>
      </c>
    </row>
    <row r="21" customFormat="false" ht="21.75" hidden="false" customHeight="true" outlineLevel="0" collapsed="false">
      <c r="A21" s="19" t="n">
        <v>20</v>
      </c>
      <c r="B21" s="19" t="n">
        <v>1221</v>
      </c>
      <c r="C21" s="27" t="s">
        <v>104</v>
      </c>
      <c r="D21" s="20" t="str">
        <f aca="false">VLOOKUP(B21,[2]sales!$B$2:$D$183,3,0)</f>
        <v>Territory Sales Executive</v>
      </c>
      <c r="E21" s="18" t="s">
        <v>105</v>
      </c>
      <c r="F21" s="18" t="s">
        <v>79</v>
      </c>
      <c r="G21" s="18" t="n">
        <f aca="false">VLOOKUP(B21,'[6]staff klmsy (2)'!$B$7:I$84,8,0)</f>
        <v>25030</v>
      </c>
      <c r="H21" s="18" t="n">
        <f aca="false">VLOOKUP(B21,'[6]staff klmsy (2)'!B$7:R$84,17,0)</f>
        <v>25030</v>
      </c>
      <c r="I21" s="21" t="str">
        <f aca="false">VLOOKUP(B21,[2]sales!$B$2:$G$183,6,0)</f>
        <v>Bakery South</v>
      </c>
      <c r="J21" s="22" t="s">
        <v>84</v>
      </c>
      <c r="K21" s="23" t="s">
        <v>8</v>
      </c>
      <c r="L21" s="24" t="n">
        <f aca="false">IF(H21&gt;23335,0,(H21*90%*4.75%))</f>
        <v>0</v>
      </c>
      <c r="M21" s="24" t="n">
        <f aca="false">IF(H21*60%*12%&gt;1800,1974,(H21*60%*13.16%))</f>
        <v>1974</v>
      </c>
      <c r="N21" s="25" t="n">
        <f aca="false">H21+L21+M21</f>
        <v>27004</v>
      </c>
    </row>
    <row r="22" customFormat="false" ht="17.25" hidden="false" customHeight="true" outlineLevel="0" collapsed="false">
      <c r="A22" s="18" t="n">
        <v>21</v>
      </c>
      <c r="B22" s="19" t="n">
        <v>1256</v>
      </c>
      <c r="C22" s="29" t="s">
        <v>106</v>
      </c>
      <c r="D22" s="30" t="s">
        <v>107</v>
      </c>
      <c r="E22" s="18" t="s">
        <v>108</v>
      </c>
      <c r="F22" s="18" t="s">
        <v>109</v>
      </c>
      <c r="G22" s="18" t="n">
        <f aca="false">VLOOKUP(B22,[9]Staff!B$7:H$245,7,0)</f>
        <v>14840</v>
      </c>
      <c r="H22" s="18" t="n">
        <f aca="false">VLOOKUP(B22,[9]Staff!B$7:P$245,15,0)</f>
        <v>14840</v>
      </c>
      <c r="I22" s="22" t="s">
        <v>110</v>
      </c>
      <c r="J22" s="22" t="s">
        <v>110</v>
      </c>
      <c r="K22" s="23" t="s">
        <v>10</v>
      </c>
      <c r="L22" s="24" t="n">
        <f aca="false">IF(H22&gt;23335,0,(H22*90%*4.75%))</f>
        <v>634.41</v>
      </c>
      <c r="M22" s="24" t="n">
        <f aca="false">IF(H22*60%*12%&gt;1800,1974,(H22*60%*13.16%))</f>
        <v>1171.7664</v>
      </c>
      <c r="N22" s="25" t="n">
        <f aca="false">H22+L22+M22</f>
        <v>16646.1764</v>
      </c>
    </row>
    <row r="23" customFormat="false" ht="17.25" hidden="false" customHeight="true" outlineLevel="0" collapsed="false">
      <c r="A23" s="19" t="n">
        <v>22</v>
      </c>
      <c r="B23" s="19" t="n">
        <v>1276</v>
      </c>
      <c r="C23" s="20" t="s">
        <v>111</v>
      </c>
      <c r="D23" s="20" t="str">
        <f aca="false">VLOOKUP(B23,[2]sales!$B$2:$D$183,3,0)</f>
        <v>Territory Sales Executive</v>
      </c>
      <c r="E23" s="18" t="s">
        <v>112</v>
      </c>
      <c r="F23" s="18" t="s">
        <v>79</v>
      </c>
      <c r="G23" s="18" t="n">
        <f aca="false">VLOOKUP(B23,'[8]Tasty Toast-Apr''18'!B$5:H$61,7,0)</f>
        <v>20650</v>
      </c>
      <c r="H23" s="18" t="n">
        <f aca="false">VLOOKUP(B23,'[8]Tasty Toast-Apr''18'!B$5:N$61,13,0)</f>
        <v>20650</v>
      </c>
      <c r="I23" s="21" t="str">
        <f aca="false">VLOOKUP(B23,[2]sales!$B$2:$G$183,6,0)</f>
        <v>Bakery North</v>
      </c>
      <c r="J23" s="22" t="s">
        <v>76</v>
      </c>
      <c r="K23" s="23" t="s">
        <v>5</v>
      </c>
      <c r="L23" s="25" t="n">
        <f aca="false">IF(H23&gt;21000,0,(H23*4.75%))</f>
        <v>980.875</v>
      </c>
      <c r="M23" s="25" t="n">
        <f aca="false">IF(H23*70%*12%&gt;1800,1974,(H23*70%*12%))</f>
        <v>1734.6</v>
      </c>
      <c r="N23" s="25" t="n">
        <f aca="false">H23+L23+M23</f>
        <v>23365.475</v>
      </c>
    </row>
    <row r="24" customFormat="false" ht="17.25" hidden="false" customHeight="true" outlineLevel="0" collapsed="false">
      <c r="A24" s="18" t="n">
        <v>23</v>
      </c>
      <c r="B24" s="19" t="n">
        <v>4554</v>
      </c>
      <c r="C24" s="20" t="s">
        <v>113</v>
      </c>
      <c r="D24" s="20" t="str">
        <f aca="false">VLOOKUP(B24,[2]sales!$B$2:$D$183,3,0)</f>
        <v>Territory Sales Executive</v>
      </c>
      <c r="E24" s="18" t="s">
        <v>114</v>
      </c>
      <c r="F24" s="18" t="s">
        <v>67</v>
      </c>
      <c r="G24" s="18" t="n">
        <f aca="false">VLOOKUP(B24,'[5]Hosur-Apr''18'!B$5:H$127,7,0)</f>
        <v>12500</v>
      </c>
      <c r="H24" s="18" t="n">
        <f aca="false">VLOOKUP(B24,'[5]Hosur-Apr''18'!B$5:M$127,12,0)</f>
        <v>12500</v>
      </c>
      <c r="I24" s="21" t="str">
        <f aca="false">VLOOKUP(B24,[2]sales!$B$2:$G$183,6,0)</f>
        <v>Tamilnadu</v>
      </c>
      <c r="J24" s="22"/>
      <c r="K24" s="23" t="s">
        <v>7</v>
      </c>
      <c r="L24" s="25" t="n">
        <f aca="false">IF(H24&gt;21000,0,(H24*4.75%))</f>
        <v>593.75</v>
      </c>
      <c r="M24" s="25" t="n">
        <f aca="false">IF(H24*70%*12%&gt;1800,1974,(H24*70%*12%))</f>
        <v>1050</v>
      </c>
      <c r="N24" s="25" t="n">
        <f aca="false">H24+L24+M24</f>
        <v>14143.75</v>
      </c>
    </row>
    <row r="25" customFormat="false" ht="17.25" hidden="false" customHeight="true" outlineLevel="0" collapsed="false">
      <c r="A25" s="19" t="n">
        <v>24</v>
      </c>
      <c r="B25" s="19" t="n">
        <v>1397</v>
      </c>
      <c r="C25" s="20" t="s">
        <v>115</v>
      </c>
      <c r="D25" s="20" t="str">
        <f aca="false">VLOOKUP(B25,[2]sales!$B$2:$D$183,3,0)</f>
        <v>Territory Sales Executive</v>
      </c>
      <c r="E25" s="18" t="s">
        <v>116</v>
      </c>
      <c r="F25" s="18" t="s">
        <v>67</v>
      </c>
      <c r="G25" s="18" t="n">
        <f aca="false">VLOOKUP(B25,[9]Staff!B$7:H$245,7,0)</f>
        <v>15070</v>
      </c>
      <c r="H25" s="18" t="n">
        <f aca="false">VLOOKUP(B25,[9]Staff!B$7:P$245,15,0)</f>
        <v>15070</v>
      </c>
      <c r="I25" s="21" t="str">
        <f aca="false">VLOOKUP(B25,[2]sales!$B$2:$G$183,6,0)</f>
        <v>Bulk</v>
      </c>
      <c r="J25" s="22" t="s">
        <v>27</v>
      </c>
      <c r="K25" s="23" t="s">
        <v>10</v>
      </c>
      <c r="L25" s="24" t="n">
        <f aca="false">IF(H25&gt;23335,0,(H25*90%*4.75%))</f>
        <v>644.2425</v>
      </c>
      <c r="M25" s="24" t="n">
        <f aca="false">IF(H25*60%*12%&gt;1800,1974,(H25*60%*13.16%))</f>
        <v>1189.9272</v>
      </c>
      <c r="N25" s="25" t="n">
        <f aca="false">H25+L25+M25</f>
        <v>16904.1697</v>
      </c>
    </row>
    <row r="26" customFormat="false" ht="17.25" hidden="false" customHeight="true" outlineLevel="0" collapsed="false">
      <c r="A26" s="18" t="n">
        <v>25</v>
      </c>
      <c r="B26" s="19" t="n">
        <v>1420</v>
      </c>
      <c r="C26" s="20" t="s">
        <v>117</v>
      </c>
      <c r="D26" s="20" t="str">
        <f aca="false">VLOOKUP(B26,[2]sales!$B$2:$D$183,3,0)</f>
        <v>Sr. Territory Sales Executive</v>
      </c>
      <c r="E26" s="18" t="s">
        <v>118</v>
      </c>
      <c r="F26" s="18" t="s">
        <v>79</v>
      </c>
      <c r="G26" s="18" t="n">
        <f aca="false">VLOOKUP(B26,[9]Staff!B$7:H$245,7,0)</f>
        <v>22090</v>
      </c>
      <c r="H26" s="18" t="n">
        <f aca="false">VLOOKUP(B26,[9]Staff!B$7:P$245,15,0)</f>
        <v>22090</v>
      </c>
      <c r="I26" s="21" t="str">
        <f aca="false">VLOOKUP(B26,[2]sales!$B$2:$G$183,6,0)</f>
        <v>CPD North</v>
      </c>
      <c r="J26" s="22" t="s">
        <v>76</v>
      </c>
      <c r="K26" s="23" t="s">
        <v>10</v>
      </c>
      <c r="L26" s="24" t="n">
        <f aca="false">IF(H26&gt;23335,0,(H26*90%*4.75%))</f>
        <v>944.3475</v>
      </c>
      <c r="M26" s="24" t="n">
        <f aca="false">IF(H26*60%*12%&gt;1800,1974,(H26*60%*13.16%))</f>
        <v>1744.2264</v>
      </c>
      <c r="N26" s="25" t="n">
        <f aca="false">H26+L26+M26</f>
        <v>24778.5739</v>
      </c>
    </row>
    <row r="27" customFormat="false" ht="21.75" hidden="false" customHeight="true" outlineLevel="0" collapsed="false">
      <c r="A27" s="19" t="n">
        <v>26</v>
      </c>
      <c r="B27" s="19" t="n">
        <v>1423</v>
      </c>
      <c r="C27" s="20" t="s">
        <v>119</v>
      </c>
      <c r="D27" s="20" t="str">
        <f aca="false">VLOOKUP(B27,[2]sales!$B$2:$D$183,3,0)</f>
        <v>Territory Sales Executive</v>
      </c>
      <c r="E27" s="18" t="s">
        <v>120</v>
      </c>
      <c r="F27" s="18" t="s">
        <v>79</v>
      </c>
      <c r="G27" s="18" t="n">
        <f aca="false">VLOOKUP(B27,'[6]staff klmsy (2)'!$B$7:I$84,8,0)</f>
        <v>21190</v>
      </c>
      <c r="H27" s="28" t="n">
        <f aca="false">VLOOKUP(B27,'[6]staff klmsy (2)'!B$7:R$84,17,0)</f>
        <v>9888.67</v>
      </c>
      <c r="I27" s="21" t="str">
        <f aca="false">VLOOKUP(B27,[2]sales!$B$2:$G$183,6,0)</f>
        <v>Bakery South</v>
      </c>
      <c r="J27" s="22" t="s">
        <v>84</v>
      </c>
      <c r="K27" s="23" t="s">
        <v>8</v>
      </c>
      <c r="L27" s="24" t="n">
        <f aca="false">IF(H27&gt;23335,0,(H27*90%*4.75%))</f>
        <v>422.7406425</v>
      </c>
      <c r="M27" s="24" t="n">
        <f aca="false">IF(H27*60%*12%&gt;1800,1974,(H27*60%*13.16%))</f>
        <v>780.8093832</v>
      </c>
      <c r="N27" s="25" t="n">
        <f aca="false">H27+L27+M27</f>
        <v>11092.2200257</v>
      </c>
    </row>
    <row r="28" customFormat="false" ht="17.25" hidden="false" customHeight="true" outlineLevel="0" collapsed="false">
      <c r="A28" s="18" t="n">
        <v>27</v>
      </c>
      <c r="B28" s="19" t="n">
        <v>1450</v>
      </c>
      <c r="C28" s="20" t="s">
        <v>121</v>
      </c>
      <c r="D28" s="20" t="str">
        <f aca="false">VLOOKUP(B28,[2]sales!$B$2:$D$183,3,0)</f>
        <v>Territory Sales Executive</v>
      </c>
      <c r="E28" s="18" t="s">
        <v>122</v>
      </c>
      <c r="F28" s="18" t="s">
        <v>67</v>
      </c>
      <c r="G28" s="18" t="n">
        <f aca="false">VLOOKUP(B28,[9]Staff!B$7:H$245,7,0)</f>
        <v>17720</v>
      </c>
      <c r="H28" s="18" t="n">
        <f aca="false">VLOOKUP(B28,[9]Staff!B$7:P$245,15,0)</f>
        <v>17720</v>
      </c>
      <c r="I28" s="21" t="str">
        <f aca="false">VLOOKUP(B28,[2]sales!$B$2:$G$183,6,0)</f>
        <v>CPD South</v>
      </c>
      <c r="J28" s="22" t="s">
        <v>76</v>
      </c>
      <c r="K28" s="23" t="s">
        <v>10</v>
      </c>
      <c r="L28" s="24" t="n">
        <f aca="false">IF(H28&gt;23335,0,(H28*90%*4.75%))</f>
        <v>757.53</v>
      </c>
      <c r="M28" s="24" t="n">
        <f aca="false">IF(H28*60%*12%&gt;1800,1974,(H28*60%*13.16%))</f>
        <v>1399.1712</v>
      </c>
      <c r="N28" s="25" t="n">
        <f aca="false">H28+L28+M28</f>
        <v>19876.7012</v>
      </c>
    </row>
    <row r="29" customFormat="false" ht="17.25" hidden="false" customHeight="false" outlineLevel="0" collapsed="false">
      <c r="A29" s="19" t="n">
        <v>28</v>
      </c>
      <c r="B29" s="19" t="n">
        <v>1467</v>
      </c>
      <c r="C29" s="20" t="s">
        <v>123</v>
      </c>
      <c r="D29" s="20" t="str">
        <f aca="false">VLOOKUP(B29,[2]sales!$B$2:$D$183,3,0)</f>
        <v>Territory Sales Manager </v>
      </c>
      <c r="E29" s="18" t="s">
        <v>124</v>
      </c>
      <c r="F29" s="18" t="s">
        <v>58</v>
      </c>
      <c r="G29" s="18" t="n">
        <f aca="false">VLOOKUP(B29,'[4]salary aroor'!B$7:H$52,7,0)</f>
        <v>29100</v>
      </c>
      <c r="H29" s="18" t="n">
        <f aca="false">VLOOKUP(B29,'[4]salary aroor'!B$7:L$52,11,0)</f>
        <v>29100</v>
      </c>
      <c r="I29" s="21" t="s">
        <v>125</v>
      </c>
      <c r="J29" s="22" t="s">
        <v>126</v>
      </c>
      <c r="K29" s="23" t="s">
        <v>4</v>
      </c>
      <c r="L29" s="24" t="n">
        <f aca="false">IF(H29&gt;23335,0,(H29*90%*4.75%))</f>
        <v>0</v>
      </c>
      <c r="M29" s="24" t="n">
        <f aca="false">IF(H29*60%*12%&gt;1800,1974,(H29*60%*13.16%))</f>
        <v>1974</v>
      </c>
      <c r="N29" s="25" t="n">
        <f aca="false">H29+L29+M29</f>
        <v>31074</v>
      </c>
    </row>
    <row r="30" customFormat="false" ht="17.25" hidden="false" customHeight="false" outlineLevel="0" collapsed="false">
      <c r="A30" s="18" t="n">
        <v>29</v>
      </c>
      <c r="B30" s="19" t="n">
        <v>4960</v>
      </c>
      <c r="C30" s="20" t="s">
        <v>127</v>
      </c>
      <c r="D30" s="20" t="s">
        <v>128</v>
      </c>
      <c r="E30" s="18" t="s">
        <v>129</v>
      </c>
      <c r="F30" s="18" t="s">
        <v>109</v>
      </c>
      <c r="G30" s="18" t="n">
        <f aca="false">VLOOKUP(B30,'[4]salary aroor'!B$7:H$52,7,0)</f>
        <v>12500</v>
      </c>
      <c r="H30" s="18" t="n">
        <f aca="false">VLOOKUP(B30,'[4]salary aroor'!B$7:L$52,11,0)</f>
        <v>9875</v>
      </c>
      <c r="I30" s="21" t="s">
        <v>125</v>
      </c>
      <c r="J30" s="22"/>
      <c r="K30" s="23" t="s">
        <v>4</v>
      </c>
      <c r="L30" s="24" t="n">
        <f aca="false">IF(H30&gt;23335,0,(H30*90%*4.75%))</f>
        <v>422.15625</v>
      </c>
      <c r="M30" s="24" t="n">
        <f aca="false">IF(H30*60%*12%&gt;1800,1974,(H30*60%*13.16%))</f>
        <v>779.73</v>
      </c>
      <c r="N30" s="25" t="n">
        <f aca="false">H30+L30+M30</f>
        <v>11076.88625</v>
      </c>
    </row>
    <row r="31" customFormat="false" ht="17.25" hidden="false" customHeight="false" outlineLevel="0" collapsed="false">
      <c r="A31" s="19" t="n">
        <v>30</v>
      </c>
      <c r="B31" s="19" t="n">
        <v>4961</v>
      </c>
      <c r="C31" s="20" t="s">
        <v>130</v>
      </c>
      <c r="D31" s="20" t="s">
        <v>128</v>
      </c>
      <c r="E31" s="18" t="s">
        <v>129</v>
      </c>
      <c r="F31" s="18" t="s">
        <v>109</v>
      </c>
      <c r="G31" s="18" t="n">
        <f aca="false">VLOOKUP(B31,'[4]salary aroor'!B$7:H$52,7,0)</f>
        <v>13000</v>
      </c>
      <c r="H31" s="18" t="n">
        <f aca="false">VLOOKUP(B31,'[4]salary aroor'!B$7:L$52,11,0)</f>
        <v>10270</v>
      </c>
      <c r="I31" s="21" t="s">
        <v>125</v>
      </c>
      <c r="J31" s="22"/>
      <c r="K31" s="23" t="s">
        <v>4</v>
      </c>
      <c r="L31" s="24" t="n">
        <f aca="false">IF(H31&gt;23335,0,(H31*90%*4.75%))</f>
        <v>439.0425</v>
      </c>
      <c r="M31" s="24" t="n">
        <f aca="false">IF(H31*60%*12%&gt;1800,1974,(H31*60%*13.16%))</f>
        <v>810.9192</v>
      </c>
      <c r="N31" s="25" t="n">
        <f aca="false">H31+L31+M31</f>
        <v>11519.9617</v>
      </c>
    </row>
    <row r="32" customFormat="false" ht="17.25" hidden="false" customHeight="true" outlineLevel="0" collapsed="false">
      <c r="A32" s="18" t="n">
        <v>31</v>
      </c>
      <c r="B32" s="19" t="n">
        <v>1525</v>
      </c>
      <c r="C32" s="20" t="s">
        <v>131</v>
      </c>
      <c r="D32" s="20" t="str">
        <f aca="false">VLOOKUP(B32,[2]sales!$B$2:$D$183,3,0)</f>
        <v>Sr. Territory Sales Executive</v>
      </c>
      <c r="E32" s="18" t="s">
        <v>132</v>
      </c>
      <c r="F32" s="18" t="s">
        <v>79</v>
      </c>
      <c r="G32" s="18" t="n">
        <f aca="false">VLOOKUP(B32,[9]Staff!B$7:H$245,7,0)</f>
        <v>21630</v>
      </c>
      <c r="H32" s="18" t="n">
        <f aca="false">VLOOKUP(B32,[9]Staff!B$7:P$245,15,0)</f>
        <v>21630</v>
      </c>
      <c r="I32" s="21" t="str">
        <f aca="false">VLOOKUP(B32,[2]sales!$B$2:$G$183,6,0)</f>
        <v>Modern Trade</v>
      </c>
      <c r="J32" s="22" t="s">
        <v>133</v>
      </c>
      <c r="K32" s="23" t="s">
        <v>10</v>
      </c>
      <c r="L32" s="24" t="n">
        <f aca="false">IF(H32&gt;23335,0,(H32*90%*4.75%))</f>
        <v>924.6825</v>
      </c>
      <c r="M32" s="24" t="n">
        <f aca="false">IF(H32*60%*12%&gt;1800,1974,(H32*60%*13.16%))</f>
        <v>1707.9048</v>
      </c>
      <c r="N32" s="25" t="n">
        <f aca="false">H32+L32+M32</f>
        <v>24262.5873</v>
      </c>
    </row>
    <row r="33" customFormat="false" ht="17.25" hidden="false" customHeight="true" outlineLevel="0" collapsed="false">
      <c r="A33" s="19" t="n">
        <v>32</v>
      </c>
      <c r="B33" s="19" t="n">
        <v>1526</v>
      </c>
      <c r="C33" s="20" t="s">
        <v>134</v>
      </c>
      <c r="D33" s="20" t="s">
        <v>135</v>
      </c>
      <c r="E33" s="18" t="s">
        <v>136</v>
      </c>
      <c r="F33" s="18" t="s">
        <v>109</v>
      </c>
      <c r="G33" s="18" t="n">
        <f aca="false">VLOOKUP(B33,'[8]Tasty Toast-Apr''18'!B$5:H$61,7,0)</f>
        <v>21830</v>
      </c>
      <c r="H33" s="18" t="n">
        <f aca="false">VLOOKUP(B33,'[8]Tasty Toast-Apr''18'!B$5:N$61,13,0)</f>
        <v>21830</v>
      </c>
      <c r="I33" s="21" t="s">
        <v>137</v>
      </c>
      <c r="J33" s="20" t="s">
        <v>126</v>
      </c>
      <c r="K33" s="23" t="s">
        <v>5</v>
      </c>
      <c r="L33" s="25" t="n">
        <f aca="false">IF(H33&gt;21000,0,(H33*4.75%))</f>
        <v>0</v>
      </c>
      <c r="M33" s="25" t="n">
        <f aca="false">IF(H33*70%*12%&gt;1800,1974,(H33*70%*12%))</f>
        <v>1974</v>
      </c>
      <c r="N33" s="25" t="n">
        <f aca="false">H33+L33+M33</f>
        <v>23804</v>
      </c>
    </row>
    <row r="34" customFormat="false" ht="17.25" hidden="false" customHeight="true" outlineLevel="0" collapsed="false">
      <c r="A34" s="18" t="n">
        <v>33</v>
      </c>
      <c r="B34" s="19" t="n">
        <v>1546</v>
      </c>
      <c r="C34" s="20" t="s">
        <v>138</v>
      </c>
      <c r="D34" s="20" t="str">
        <f aca="false">VLOOKUP(B34,[2]sales!$B$2:$D$183,3,0)</f>
        <v>Territory Sales Executive</v>
      </c>
      <c r="E34" s="18" t="s">
        <v>139</v>
      </c>
      <c r="F34" s="18" t="s">
        <v>67</v>
      </c>
      <c r="G34" s="18" t="n">
        <f aca="false">VLOOKUP(B34,'[8]Tasty Toast-Apr''18'!B$5:H$61,7,0)</f>
        <v>21180</v>
      </c>
      <c r="H34" s="18" t="n">
        <f aca="false">VLOOKUP(B34,'[8]Tasty Toast-Apr''18'!B$5:N$61,13,0)</f>
        <v>21180</v>
      </c>
      <c r="I34" s="21" t="str">
        <f aca="false">VLOOKUP(B34,[2]sales!$B$2:$G$183,6,0)</f>
        <v>Modern Trade</v>
      </c>
      <c r="J34" s="21" t="s">
        <v>133</v>
      </c>
      <c r="K34" s="23" t="s">
        <v>5</v>
      </c>
      <c r="L34" s="25" t="n">
        <f aca="false">IF(H34&gt;21000,0,(H34*4.75%))</f>
        <v>0</v>
      </c>
      <c r="M34" s="25" t="n">
        <f aca="false">IF(H34*70%*12%&gt;1800,1974,(H34*70%*12%))</f>
        <v>1779.12</v>
      </c>
      <c r="N34" s="25" t="n">
        <f aca="false">H34+L34+M34</f>
        <v>22959.12</v>
      </c>
    </row>
    <row r="35" customFormat="false" ht="17.25" hidden="false" customHeight="true" outlineLevel="0" collapsed="false">
      <c r="A35" s="19" t="n">
        <v>34</v>
      </c>
      <c r="B35" s="19" t="n">
        <v>1617</v>
      </c>
      <c r="C35" s="20" t="s">
        <v>140</v>
      </c>
      <c r="D35" s="20" t="str">
        <f aca="false">VLOOKUP(B35,[2]sales!$B$2:$D$183,3,0)</f>
        <v>Sr. Territory Sales Executive</v>
      </c>
      <c r="E35" s="18" t="s">
        <v>141</v>
      </c>
      <c r="F35" s="18" t="s">
        <v>79</v>
      </c>
      <c r="G35" s="18" t="n">
        <f aca="false">VLOOKUP(B35,[9]Staff!B$7:H$245,7,0)</f>
        <v>23440</v>
      </c>
      <c r="H35" s="18" t="n">
        <f aca="false">VLOOKUP(B35,[9]Staff!B$7:P$245,15,0)</f>
        <v>23440</v>
      </c>
      <c r="I35" s="21" t="str">
        <f aca="false">VLOOKUP(B35,[2]sales!$B$2:$G$183,6,0)</f>
        <v>Modern Trade</v>
      </c>
      <c r="J35" s="21" t="s">
        <v>133</v>
      </c>
      <c r="K35" s="23" t="s">
        <v>10</v>
      </c>
      <c r="L35" s="24" t="n">
        <f aca="false">IF(H35&gt;23335,0,(H35*90%*4.75%))</f>
        <v>0</v>
      </c>
      <c r="M35" s="24" t="n">
        <f aca="false">IF(H35*60%*12%&gt;1800,1974,(H35*60%*13.16%))</f>
        <v>1850.8224</v>
      </c>
      <c r="N35" s="25" t="n">
        <f aca="false">H35+L35+M35</f>
        <v>25290.8224</v>
      </c>
    </row>
    <row r="36" customFormat="false" ht="21.75" hidden="false" customHeight="true" outlineLevel="0" collapsed="false">
      <c r="A36" s="18" t="n">
        <v>35</v>
      </c>
      <c r="B36" s="19" t="n">
        <v>1676</v>
      </c>
      <c r="C36" s="20" t="s">
        <v>142</v>
      </c>
      <c r="D36" s="20" t="str">
        <f aca="false">VLOOKUP(B36,[2]sales!$B$2:$D$183,3,0)</f>
        <v>Territory Sales Manager </v>
      </c>
      <c r="E36" s="18" t="s">
        <v>143</v>
      </c>
      <c r="F36" s="18" t="s">
        <v>58</v>
      </c>
      <c r="G36" s="18" t="n">
        <f aca="false">VLOOKUP(B36,'[6]staff klmsy (2)'!$B$7:I$84,8,0)</f>
        <v>32800</v>
      </c>
      <c r="H36" s="18" t="n">
        <f aca="false">VLOOKUP(B36,'[6]staff klmsy (2)'!B$7:R$84,17,0)</f>
        <v>32800</v>
      </c>
      <c r="I36" s="21" t="str">
        <f aca="false">VLOOKUP(B36,[2]sales!$B$2:$G$183,6,0)</f>
        <v>Bakery South</v>
      </c>
      <c r="J36" s="22" t="s">
        <v>126</v>
      </c>
      <c r="K36" s="23" t="s">
        <v>8</v>
      </c>
      <c r="L36" s="24" t="n">
        <f aca="false">IF(H36&gt;23335,0,(H36*90%*4.75%))</f>
        <v>0</v>
      </c>
      <c r="M36" s="24" t="n">
        <f aca="false">IF(H36*60%*12%&gt;1800,1974,(H36*60%*13.16%))</f>
        <v>1974</v>
      </c>
      <c r="N36" s="25" t="n">
        <f aca="false">H36+L36+M36</f>
        <v>34774</v>
      </c>
    </row>
    <row r="37" customFormat="false" ht="17.25" hidden="false" customHeight="true" outlineLevel="0" collapsed="false">
      <c r="A37" s="19" t="n">
        <v>36</v>
      </c>
      <c r="B37" s="19" t="n">
        <v>1682</v>
      </c>
      <c r="C37" s="20" t="s">
        <v>144</v>
      </c>
      <c r="D37" s="20" t="str">
        <f aca="false">VLOOKUP(B37,[2]sales!$B$2:$D$183,3,0)</f>
        <v>Regional Sales Manager</v>
      </c>
      <c r="E37" s="18" t="s">
        <v>145</v>
      </c>
      <c r="F37" s="18" t="s">
        <v>146</v>
      </c>
      <c r="G37" s="18" t="n">
        <f aca="false">VLOOKUP(B37,[9]Staff!B$7:H$245,7,0)</f>
        <v>131880</v>
      </c>
      <c r="H37" s="18" t="n">
        <f aca="false">VLOOKUP(B37,[9]Staff!B$7:P$245,15,0)</f>
        <v>131880</v>
      </c>
      <c r="I37" s="21" t="str">
        <f aca="false">VLOOKUP(B37,[2]sales!$B$2:$G$183,6,0)</f>
        <v>Karnataka</v>
      </c>
      <c r="J37" s="22" t="s">
        <v>33</v>
      </c>
      <c r="K37" s="23" t="s">
        <v>10</v>
      </c>
      <c r="L37" s="24" t="n">
        <f aca="false">IF(H37&gt;23335,0,(H37*90%*4.75%))</f>
        <v>0</v>
      </c>
      <c r="M37" s="24" t="n">
        <f aca="false">IF(H37*60%*12%&gt;1800,1974,(H37*60%*13.16%))</f>
        <v>1974</v>
      </c>
      <c r="N37" s="25" t="n">
        <f aca="false">H37+L37+M37</f>
        <v>133854</v>
      </c>
    </row>
    <row r="38" customFormat="false" ht="17.25" hidden="false" customHeight="true" outlineLevel="0" collapsed="false">
      <c r="A38" s="18" t="n">
        <v>37</v>
      </c>
      <c r="B38" s="19" t="n">
        <v>1747</v>
      </c>
      <c r="C38" s="20" t="s">
        <v>147</v>
      </c>
      <c r="D38" s="20" t="str">
        <f aca="false">VLOOKUP(B38,[2]sales!$B$2:$D$183,3,0)</f>
        <v>Territory Sales Executive</v>
      </c>
      <c r="E38" s="18" t="s">
        <v>148</v>
      </c>
      <c r="F38" s="18" t="s">
        <v>67</v>
      </c>
      <c r="G38" s="18" t="n">
        <f aca="false">VLOOKUP(B38,[9]Staff!B$7:H$245,7,0)</f>
        <v>21680</v>
      </c>
      <c r="H38" s="18" t="n">
        <f aca="false">VLOOKUP(B38,[9]Staff!B$7:P$245,15,0)</f>
        <v>21680</v>
      </c>
      <c r="I38" s="21" t="str">
        <f aca="false">VLOOKUP(B38,[2]sales!$B$2:$G$183,6,0)</f>
        <v>Bulk</v>
      </c>
      <c r="J38" s="22" t="s">
        <v>76</v>
      </c>
      <c r="K38" s="23" t="s">
        <v>10</v>
      </c>
      <c r="L38" s="24" t="n">
        <f aca="false">IF(H38&gt;23335,0,(H38*90%*4.75%))</f>
        <v>926.82</v>
      </c>
      <c r="M38" s="24" t="n">
        <f aca="false">IF(H38*60%*12%&gt;1800,1974,(H38*60%*13.16%))</f>
        <v>1711.8528</v>
      </c>
      <c r="N38" s="25" t="n">
        <f aca="false">H38+L38+M38</f>
        <v>24318.6728</v>
      </c>
    </row>
    <row r="39" customFormat="false" ht="17.25" hidden="false" customHeight="true" outlineLevel="0" collapsed="false">
      <c r="A39" s="19" t="n">
        <v>38</v>
      </c>
      <c r="B39" s="19" t="n">
        <v>4575</v>
      </c>
      <c r="C39" s="20" t="s">
        <v>149</v>
      </c>
      <c r="D39" s="20" t="str">
        <f aca="false">VLOOKUP(B39,[2]sales!$B$2:$D$183,3,0)</f>
        <v>Sr. Territory Sales Executive</v>
      </c>
      <c r="E39" s="18" t="s">
        <v>150</v>
      </c>
      <c r="F39" s="18" t="s">
        <v>79</v>
      </c>
      <c r="G39" s="18" t="n">
        <f aca="false">VLOOKUP(B39,'[5]Hosur-Apr''18'!B$5:H$127,7,0)</f>
        <v>30000</v>
      </c>
      <c r="H39" s="18" t="n">
        <f aca="false">VLOOKUP(B39,'[5]Hosur-Apr''18'!B$5:M$127,12,0)</f>
        <v>30000</v>
      </c>
      <c r="I39" s="21" t="str">
        <f aca="false">VLOOKUP(B39,[2]sales!$B$2:$G$183,6,0)</f>
        <v>AP</v>
      </c>
      <c r="J39" s="22" t="s">
        <v>33</v>
      </c>
      <c r="K39" s="23" t="s">
        <v>7</v>
      </c>
      <c r="L39" s="25" t="n">
        <f aca="false">IF(H39&gt;21000,0,(H39*4.75%))</f>
        <v>0</v>
      </c>
      <c r="M39" s="25" t="n">
        <f aca="false">IF(H39*70%*12%&gt;1800,1974,(H39*70%*12%))</f>
        <v>1974</v>
      </c>
      <c r="N39" s="25" t="n">
        <f aca="false">H39+L39+M39</f>
        <v>31974</v>
      </c>
    </row>
    <row r="40" customFormat="false" ht="17.25" hidden="false" customHeight="true" outlineLevel="0" collapsed="false">
      <c r="A40" s="18" t="n">
        <v>39</v>
      </c>
      <c r="B40" s="19" t="n">
        <v>4576</v>
      </c>
      <c r="C40" s="20" t="s">
        <v>151</v>
      </c>
      <c r="D40" s="20" t="str">
        <f aca="false">VLOOKUP(B40,[2]sales!$B$2:$D$183,3,0)</f>
        <v>Territory Sales Executive</v>
      </c>
      <c r="E40" s="18" t="s">
        <v>152</v>
      </c>
      <c r="F40" s="18" t="s">
        <v>67</v>
      </c>
      <c r="G40" s="18" t="n">
        <f aca="false">VLOOKUP(B40,'[5]Hosur-Apr''18'!B$5:H$127,7,0)</f>
        <v>21001</v>
      </c>
      <c r="H40" s="18" t="n">
        <f aca="false">VLOOKUP(B40,'[5]Hosur-Apr''18'!B$5:M$127,12,0)</f>
        <v>21001</v>
      </c>
      <c r="I40" s="21" t="str">
        <f aca="false">VLOOKUP(B40,[2]sales!$B$2:$G$183,6,0)</f>
        <v>AP</v>
      </c>
      <c r="J40" s="22" t="s">
        <v>33</v>
      </c>
      <c r="K40" s="23" t="s">
        <v>7</v>
      </c>
      <c r="L40" s="25" t="n">
        <f aca="false">IF(H40&gt;21000,0,(H40*4.75%))</f>
        <v>0</v>
      </c>
      <c r="M40" s="25" t="n">
        <f aca="false">IF(H40*70%*12%&gt;1800,1974,(H40*70%*12%))</f>
        <v>1764.084</v>
      </c>
      <c r="N40" s="25" t="n">
        <f aca="false">H40+L40+M40</f>
        <v>22765.084</v>
      </c>
    </row>
    <row r="41" customFormat="false" ht="17.25" hidden="false" customHeight="true" outlineLevel="0" collapsed="false">
      <c r="A41" s="19" t="n">
        <v>40</v>
      </c>
      <c r="B41" s="19" t="n">
        <v>4883</v>
      </c>
      <c r="C41" s="20" t="s">
        <v>153</v>
      </c>
      <c r="D41" s="20" t="str">
        <f aca="false">VLOOKUP(B41,[2]sales!$B$2:$D$183,3,0)</f>
        <v>Territory Sales Executive</v>
      </c>
      <c r="E41" s="18" t="s">
        <v>154</v>
      </c>
      <c r="F41" s="18" t="s">
        <v>67</v>
      </c>
      <c r="G41" s="18" t="n">
        <f aca="false">VLOOKUP(B41,'[5]Hosur-Apr''18'!B$5:H$127,7,0)</f>
        <v>26500</v>
      </c>
      <c r="H41" s="18" t="n">
        <f aca="false">VLOOKUP(B41,'[5]Hosur-Apr''18'!B$5:M$127,12,0)</f>
        <v>26500</v>
      </c>
      <c r="I41" s="21" t="str">
        <f aca="false">VLOOKUP(B41,[2]sales!$B$2:$G$183,6,0)</f>
        <v>AP</v>
      </c>
      <c r="J41" s="22" t="s">
        <v>26</v>
      </c>
      <c r="K41" s="23" t="s">
        <v>7</v>
      </c>
      <c r="L41" s="25" t="n">
        <f aca="false">IF(H41&gt;21000,0,(H41*4.75%))</f>
        <v>0</v>
      </c>
      <c r="M41" s="25" t="n">
        <f aca="false">IF(H41*70%*12%&gt;1800,1974,(H41*70%*12%))</f>
        <v>1974</v>
      </c>
      <c r="N41" s="25" t="n">
        <f aca="false">H41+L41+M41</f>
        <v>28474</v>
      </c>
    </row>
    <row r="42" customFormat="false" ht="17.25" hidden="false" customHeight="true" outlineLevel="0" collapsed="false">
      <c r="A42" s="18" t="n">
        <v>41</v>
      </c>
      <c r="B42" s="19" t="n">
        <v>4958</v>
      </c>
      <c r="C42" s="20" t="s">
        <v>155</v>
      </c>
      <c r="D42" s="20" t="s">
        <v>156</v>
      </c>
      <c r="E42" s="18" t="s">
        <v>157</v>
      </c>
      <c r="F42" s="18" t="s">
        <v>61</v>
      </c>
      <c r="G42" s="18" t="n">
        <f aca="false">VLOOKUP(B42,'[5]Hosur-Apr''18'!B$5:H$127,7,0)</f>
        <v>62500</v>
      </c>
      <c r="H42" s="18" t="n">
        <f aca="false">VLOOKUP(B42,'[5]Hosur-Apr''18'!B$5:M$127,12,0)</f>
        <v>54250</v>
      </c>
      <c r="I42" s="21" t="s">
        <v>158</v>
      </c>
      <c r="J42" s="22"/>
      <c r="K42" s="23" t="s">
        <v>7</v>
      </c>
      <c r="L42" s="25" t="n">
        <f aca="false">IF(H42&gt;21000,0,(H42*4.75%))</f>
        <v>0</v>
      </c>
      <c r="M42" s="25" t="n">
        <f aca="false">IF(H42*70%*12%&gt;1800,1974,(H42*70%*12%))</f>
        <v>1974</v>
      </c>
      <c r="N42" s="25" t="n">
        <f aca="false">H42+L42+M42</f>
        <v>56224</v>
      </c>
    </row>
    <row r="43" customFormat="false" ht="17.25" hidden="false" customHeight="true" outlineLevel="0" collapsed="false">
      <c r="A43" s="19" t="n">
        <v>42</v>
      </c>
      <c r="B43" s="19" t="n">
        <v>1850</v>
      </c>
      <c r="C43" s="20" t="s">
        <v>159</v>
      </c>
      <c r="D43" s="20" t="str">
        <f aca="false">VLOOKUP(B43,[2]sales!$B$2:$D$183,3,0)</f>
        <v> Sr.Area Sales Manager</v>
      </c>
      <c r="E43" s="18" t="s">
        <v>160</v>
      </c>
      <c r="F43" s="18" t="s">
        <v>61</v>
      </c>
      <c r="G43" s="18" t="n">
        <f aca="false">VLOOKUP(B43,[9]Staff!B$7:H$245,7,0)</f>
        <v>81480</v>
      </c>
      <c r="H43" s="18" t="n">
        <f aca="false">VLOOKUP(B43,[9]Staff!B$7:P$245,15,0)</f>
        <v>81480</v>
      </c>
      <c r="I43" s="21" t="str">
        <f aca="false">VLOOKUP(B43,[2]sales!$B$2:$G$183,6,0)</f>
        <v>Tamilnadu</v>
      </c>
      <c r="J43" s="22" t="s">
        <v>39</v>
      </c>
      <c r="K43" s="23" t="s">
        <v>10</v>
      </c>
      <c r="L43" s="24" t="n">
        <f aca="false">IF(H43&gt;23335,0,(H43*90%*4.75%))</f>
        <v>0</v>
      </c>
      <c r="M43" s="24" t="n">
        <f aca="false">IF(H43*60%*12%&gt;1800,1974,(H43*60%*13.16%))</f>
        <v>1974</v>
      </c>
      <c r="N43" s="25" t="n">
        <f aca="false">H43+L43+M43</f>
        <v>83454</v>
      </c>
    </row>
    <row r="44" customFormat="false" ht="17.25" hidden="false" customHeight="true" outlineLevel="0" collapsed="false">
      <c r="A44" s="18" t="n">
        <v>43</v>
      </c>
      <c r="B44" s="19" t="n">
        <v>2043</v>
      </c>
      <c r="C44" s="32" t="s">
        <v>161</v>
      </c>
      <c r="D44" s="20" t="str">
        <f aca="false">VLOOKUP(B44,[2]sales!$B$2:$D$183,3,0)</f>
        <v>Sr. Territory Sales Executive</v>
      </c>
      <c r="E44" s="18" t="s">
        <v>162</v>
      </c>
      <c r="F44" s="18" t="s">
        <v>79</v>
      </c>
      <c r="G44" s="18" t="n">
        <f aca="false">VLOOKUP(B44,[9]Staff!B$7:H$245,7,0)</f>
        <v>21810</v>
      </c>
      <c r="H44" s="18" t="n">
        <f aca="false">VLOOKUP(B44,[9]Staff!B$7:P$245,15,0)</f>
        <v>21810</v>
      </c>
      <c r="I44" s="21" t="str">
        <f aca="false">VLOOKUP(B44,[2]sales!$B$2:$G$183,6,0)</f>
        <v>Bulk</v>
      </c>
      <c r="J44" s="22" t="s">
        <v>27</v>
      </c>
      <c r="K44" s="23" t="s">
        <v>10</v>
      </c>
      <c r="L44" s="24" t="n">
        <f aca="false">IF(H44&gt;23335,0,(H44*90%*4.75%))</f>
        <v>932.3775</v>
      </c>
      <c r="M44" s="24" t="n">
        <f aca="false">IF(H44*60%*12%&gt;1800,1974,(H44*60%*13.16%))</f>
        <v>1722.1176</v>
      </c>
      <c r="N44" s="25" t="n">
        <f aca="false">H44+L44+M44</f>
        <v>24464.4951</v>
      </c>
    </row>
    <row r="45" customFormat="false" ht="17.25" hidden="false" customHeight="true" outlineLevel="0" collapsed="false">
      <c r="A45" s="19" t="n">
        <v>44</v>
      </c>
      <c r="B45" s="19" t="n">
        <v>2118</v>
      </c>
      <c r="C45" s="20" t="s">
        <v>163</v>
      </c>
      <c r="D45" s="20" t="s">
        <v>164</v>
      </c>
      <c r="E45" s="18" t="s">
        <v>165</v>
      </c>
      <c r="F45" s="18" t="s">
        <v>67</v>
      </c>
      <c r="G45" s="18" t="n">
        <f aca="false">VLOOKUP(B45,[9]Staff!B$7:H$245,7,0)</f>
        <v>16310</v>
      </c>
      <c r="H45" s="18" t="n">
        <f aca="false">VLOOKUP(B45,[9]Staff!B$7:P$245,15,0)</f>
        <v>16310</v>
      </c>
      <c r="I45" s="21" t="s">
        <v>76</v>
      </c>
      <c r="J45" s="22" t="s">
        <v>76</v>
      </c>
      <c r="K45" s="23" t="s">
        <v>10</v>
      </c>
      <c r="L45" s="24" t="n">
        <f aca="false">IF(H45&gt;23335,0,(H45*90%*4.75%))</f>
        <v>697.2525</v>
      </c>
      <c r="M45" s="24" t="n">
        <f aca="false">IF(H45*60%*12%&gt;1800,1974,(H45*60%*13.16%))</f>
        <v>1287.8376</v>
      </c>
      <c r="N45" s="25" t="n">
        <f aca="false">H45+L45+M45</f>
        <v>18295.0901</v>
      </c>
    </row>
    <row r="46" customFormat="false" ht="17.25" hidden="false" customHeight="true" outlineLevel="0" collapsed="false">
      <c r="A46" s="18" t="n">
        <v>45</v>
      </c>
      <c r="B46" s="19" t="n">
        <v>2204</v>
      </c>
      <c r="C46" s="20" t="s">
        <v>166</v>
      </c>
      <c r="D46" s="20" t="str">
        <f aca="false">VLOOKUP(B46,[2]sales!$B$2:$D$183,3,0)</f>
        <v>Territory Sales Executive</v>
      </c>
      <c r="E46" s="18" t="s">
        <v>167</v>
      </c>
      <c r="F46" s="18" t="s">
        <v>67</v>
      </c>
      <c r="G46" s="18" t="n">
        <f aca="false">VLOOKUP(B46,'[8]Tasty Toast-Apr''18'!B$5:H$61,7,0)</f>
        <v>14500</v>
      </c>
      <c r="H46" s="18" t="n">
        <f aca="false">VLOOKUP(B46,'[8]Tasty Toast-Apr''18'!B$5:N$61,13,0)</f>
        <v>14500</v>
      </c>
      <c r="I46" s="21" t="str">
        <f aca="false">VLOOKUP(B46,[2]sales!$B$2:$G$183,6,0)</f>
        <v>Bakery North</v>
      </c>
      <c r="J46" s="20" t="s">
        <v>168</v>
      </c>
      <c r="K46" s="23" t="s">
        <v>5</v>
      </c>
      <c r="L46" s="25" t="n">
        <f aca="false">IF(H46&gt;21000,0,(H46*4.75%))</f>
        <v>688.75</v>
      </c>
      <c r="M46" s="25" t="n">
        <f aca="false">IF(H46*70%*12%&gt;1800,1974,(H46*70%*12%))</f>
        <v>1218</v>
      </c>
      <c r="N46" s="25" t="n">
        <f aca="false">H46+L46+M46</f>
        <v>16406.75</v>
      </c>
    </row>
    <row r="47" customFormat="false" ht="17.25" hidden="false" customHeight="true" outlineLevel="0" collapsed="false">
      <c r="A47" s="19" t="n">
        <v>46</v>
      </c>
      <c r="B47" s="19" t="n">
        <v>2205</v>
      </c>
      <c r="C47" s="20" t="s">
        <v>169</v>
      </c>
      <c r="D47" s="20" t="str">
        <f aca="false">VLOOKUP(B47,[2]sales!$B$2:$D$183,3,0)</f>
        <v>Regional  Manager </v>
      </c>
      <c r="E47" s="18" t="s">
        <v>170</v>
      </c>
      <c r="F47" s="18" t="s">
        <v>171</v>
      </c>
      <c r="G47" s="18" t="n">
        <v>151870</v>
      </c>
      <c r="H47" s="18" t="n">
        <v>151870</v>
      </c>
      <c r="I47" s="21" t="str">
        <f aca="false">VLOOKUP(B47,[2]sales!$B$2:$G$183,6,0)</f>
        <v>Tamilnadu</v>
      </c>
      <c r="J47" s="22" t="s">
        <v>39</v>
      </c>
      <c r="K47" s="23" t="s">
        <v>5</v>
      </c>
      <c r="L47" s="25" t="n">
        <f aca="false">IF(H47&gt;21000,0,(H47*4.75%))</f>
        <v>0</v>
      </c>
      <c r="M47" s="25" t="n">
        <f aca="false">IF(H47*70%*12%&gt;1800,1974,(H47*70%*12%))</f>
        <v>1974</v>
      </c>
      <c r="N47" s="25" t="n">
        <f aca="false">H47+L47+M47</f>
        <v>153844</v>
      </c>
    </row>
    <row r="48" customFormat="false" ht="17.25" hidden="false" customHeight="true" outlineLevel="0" collapsed="false">
      <c r="A48" s="18" t="n">
        <v>47</v>
      </c>
      <c r="B48" s="19" t="n">
        <v>2249</v>
      </c>
      <c r="C48" s="20" t="s">
        <v>172</v>
      </c>
      <c r="D48" s="20" t="s">
        <v>135</v>
      </c>
      <c r="E48" s="18" t="s">
        <v>173</v>
      </c>
      <c r="F48" s="18" t="s">
        <v>67</v>
      </c>
      <c r="G48" s="18" t="n">
        <f aca="false">VLOOKUP(B48,[9]Staff!B$7:H$245,7,0)</f>
        <v>17710</v>
      </c>
      <c r="H48" s="18" t="n">
        <f aca="false">VLOOKUP(B48,[9]Staff!B$7:P$245,15,0)</f>
        <v>1180.67</v>
      </c>
      <c r="I48" s="21" t="s">
        <v>76</v>
      </c>
      <c r="J48" s="22" t="s">
        <v>76</v>
      </c>
      <c r="K48" s="23" t="s">
        <v>10</v>
      </c>
      <c r="L48" s="24" t="n">
        <f aca="false">IF(H48&gt;23335,0,(H48*90%*4.75%))</f>
        <v>50.4736425</v>
      </c>
      <c r="M48" s="24" t="n">
        <f aca="false">IF(H48*60%*12%&gt;1800,1974,(H48*60%*13.16%))</f>
        <v>93.2257032</v>
      </c>
      <c r="N48" s="25" t="n">
        <f aca="false">H48+L48+M48</f>
        <v>1324.3693457</v>
      </c>
    </row>
    <row r="49" customFormat="false" ht="17.25" hidden="false" customHeight="true" outlineLevel="0" collapsed="false">
      <c r="A49" s="19" t="n">
        <v>48</v>
      </c>
      <c r="B49" s="19" t="n">
        <v>4558</v>
      </c>
      <c r="C49" s="20" t="s">
        <v>174</v>
      </c>
      <c r="D49" s="20" t="str">
        <f aca="false">VLOOKUP(B49,[2]sales!$B$2:$D$183,3,0)</f>
        <v>Territory Sales Executive</v>
      </c>
      <c r="E49" s="18" t="s">
        <v>175</v>
      </c>
      <c r="F49" s="18" t="s">
        <v>67</v>
      </c>
      <c r="G49" s="18" t="n">
        <f aca="false">VLOOKUP(B49,'[5]Hosur-Apr''18'!B$5:H$127,7,0)</f>
        <v>17500</v>
      </c>
      <c r="H49" s="18" t="n">
        <f aca="false">VLOOKUP(B49,'[5]Hosur-Apr''18'!B$5:M$127,12,0)</f>
        <v>17500</v>
      </c>
      <c r="I49" s="21" t="str">
        <f aca="false">VLOOKUP(B49,[2]sales!$B$2:$G$183,6,0)</f>
        <v>Tamilnadu</v>
      </c>
      <c r="J49" s="22" t="s">
        <v>39</v>
      </c>
      <c r="K49" s="23" t="s">
        <v>7</v>
      </c>
      <c r="L49" s="25" t="n">
        <f aca="false">IF(H49&gt;21000,0,(H49*4.75%))</f>
        <v>831.25</v>
      </c>
      <c r="M49" s="25" t="n">
        <f aca="false">IF(H49*70%*12%&gt;1800,1974,(H49*70%*12%))</f>
        <v>1470</v>
      </c>
      <c r="N49" s="25" t="n">
        <f aca="false">H49+L49+M49</f>
        <v>19801.25</v>
      </c>
    </row>
    <row r="50" customFormat="false" ht="17.25" hidden="false" customHeight="true" outlineLevel="0" collapsed="false">
      <c r="A50" s="18" t="n">
        <v>49</v>
      </c>
      <c r="B50" s="19" t="n">
        <v>5008</v>
      </c>
      <c r="C50" s="20" t="s">
        <v>176</v>
      </c>
      <c r="D50" s="20" t="s">
        <v>177</v>
      </c>
      <c r="E50" s="18" t="s">
        <v>178</v>
      </c>
      <c r="F50" s="18" t="s">
        <v>67</v>
      </c>
      <c r="G50" s="18" t="n">
        <f aca="false">VLOOKUP(B50,'[5]Hosur-Apr''18'!B$5:H$127,7,0)</f>
        <v>16500</v>
      </c>
      <c r="H50" s="18" t="n">
        <f aca="false">VLOOKUP(B50,'[5]Hosur-Apr''18'!B$5:M$127,12,0)</f>
        <v>5478</v>
      </c>
      <c r="I50" s="21" t="s">
        <v>42</v>
      </c>
      <c r="J50" s="22"/>
      <c r="K50" s="23" t="s">
        <v>7</v>
      </c>
      <c r="L50" s="25" t="n">
        <f aca="false">IF(H50&gt;21000,0,(H50*4.75%))</f>
        <v>260.205</v>
      </c>
      <c r="M50" s="25" t="n">
        <f aca="false">IF(H50*70%*12%&gt;1800,1974,(H50*70%*12%))</f>
        <v>460.152</v>
      </c>
      <c r="N50" s="25" t="n">
        <f aca="false">H50+L50+M50</f>
        <v>6198.357</v>
      </c>
    </row>
    <row r="51" customFormat="false" ht="17.25" hidden="false" customHeight="true" outlineLevel="0" collapsed="false">
      <c r="A51" s="19" t="n">
        <v>50</v>
      </c>
      <c r="B51" s="19" t="n">
        <v>5010</v>
      </c>
      <c r="C51" s="20" t="s">
        <v>179</v>
      </c>
      <c r="D51" s="20" t="s">
        <v>180</v>
      </c>
      <c r="E51" s="18" t="s">
        <v>181</v>
      </c>
      <c r="F51" s="18" t="s">
        <v>58</v>
      </c>
      <c r="G51" s="18" t="n">
        <f aca="false">VLOOKUP(B51,'[5]Hosur-Apr''18'!B$5:H$127,7,0)</f>
        <v>34500</v>
      </c>
      <c r="H51" s="18" t="n">
        <f aca="false">VLOOKUP(B51,'[5]Hosur-Apr''18'!B$5:M$127,12,0)</f>
        <v>9246</v>
      </c>
      <c r="I51" s="21" t="s">
        <v>42</v>
      </c>
      <c r="J51" s="22"/>
      <c r="K51" s="23" t="s">
        <v>7</v>
      </c>
      <c r="L51" s="25" t="n">
        <f aca="false">IF(H51&gt;21000,0,(H51*4.75%))</f>
        <v>439.185</v>
      </c>
      <c r="M51" s="25" t="n">
        <f aca="false">IF(H51*70%*12%&gt;1800,1974,(H51*70%*12%))</f>
        <v>776.664</v>
      </c>
      <c r="N51" s="25" t="n">
        <f aca="false">H51+L51+M51</f>
        <v>10461.849</v>
      </c>
    </row>
    <row r="52" customFormat="false" ht="20.25" hidden="false" customHeight="true" outlineLevel="0" collapsed="false">
      <c r="A52" s="18" t="n">
        <v>51</v>
      </c>
      <c r="B52" s="19" t="n">
        <v>2370</v>
      </c>
      <c r="C52" s="26" t="s">
        <v>182</v>
      </c>
      <c r="D52" s="20" t="str">
        <f aca="false">VLOOKUP(B52,[2]sales!$B$2:$D$183,3,0)</f>
        <v>Regional Sales Manager</v>
      </c>
      <c r="E52" s="18" t="s">
        <v>183</v>
      </c>
      <c r="F52" s="18" t="s">
        <v>146</v>
      </c>
      <c r="G52" s="18" t="n">
        <f aca="false">VLOOKUP(B52,[9]Staff!B$7:H$245,7,0)</f>
        <v>87130</v>
      </c>
      <c r="H52" s="18" t="n">
        <f aca="false">VLOOKUP(B52,[9]Staff!B$7:P$245,15,0)</f>
        <v>87130</v>
      </c>
      <c r="I52" s="21" t="str">
        <f aca="false">VLOOKUP(B52,[2]sales!$B$2:$G$183,6,0)</f>
        <v>CPD South</v>
      </c>
      <c r="J52" s="22" t="s">
        <v>76</v>
      </c>
      <c r="K52" s="23" t="s">
        <v>10</v>
      </c>
      <c r="L52" s="24" t="n">
        <f aca="false">IF(H52&gt;23335,0,(H52*90%*4.75%))</f>
        <v>0</v>
      </c>
      <c r="M52" s="24" t="n">
        <f aca="false">IF(H52*60%*12%&gt;1800,1974,(H52*60%*13.16%))</f>
        <v>1974</v>
      </c>
      <c r="N52" s="25" t="n">
        <f aca="false">H52+L52+M52</f>
        <v>89104</v>
      </c>
    </row>
    <row r="53" customFormat="false" ht="17.25" hidden="false" customHeight="true" outlineLevel="0" collapsed="false">
      <c r="A53" s="19" t="n">
        <v>52</v>
      </c>
      <c r="B53" s="19" t="n">
        <v>2409</v>
      </c>
      <c r="C53" s="26" t="s">
        <v>184</v>
      </c>
      <c r="D53" s="20" t="str">
        <f aca="false">VLOOKUP(B53,[2]sales!$B$2:$D$183,3,0)</f>
        <v>Area Sales Manager</v>
      </c>
      <c r="E53" s="18" t="s">
        <v>185</v>
      </c>
      <c r="F53" s="18" t="s">
        <v>64</v>
      </c>
      <c r="G53" s="18" t="n">
        <f aca="false">VLOOKUP(B53,[9]Staff!B$7:H$245,7,0)</f>
        <v>68050</v>
      </c>
      <c r="H53" s="18" t="n">
        <f aca="false">VLOOKUP(B53,[9]Staff!B$7:P$245,15,0)</f>
        <v>68050</v>
      </c>
      <c r="I53" s="21" t="str">
        <f aca="false">VLOOKUP(B53,[2]sales!$B$2:$G$183,6,0)</f>
        <v>Tamilnadu</v>
      </c>
      <c r="J53" s="22" t="s">
        <v>39</v>
      </c>
      <c r="K53" s="23" t="s">
        <v>10</v>
      </c>
      <c r="L53" s="24" t="n">
        <f aca="false">IF(H53&gt;23335,0,(H53*90%*4.75%))</f>
        <v>0</v>
      </c>
      <c r="M53" s="24" t="n">
        <f aca="false">IF(H53*60%*12%&gt;1800,1974,(H53*60%*13.16%))</f>
        <v>1974</v>
      </c>
      <c r="N53" s="25" t="n">
        <f aca="false">H53+L53+M53</f>
        <v>70024</v>
      </c>
    </row>
    <row r="54" customFormat="false" ht="17.25" hidden="false" customHeight="true" outlineLevel="0" collapsed="false">
      <c r="A54" s="18" t="n">
        <v>53</v>
      </c>
      <c r="B54" s="19" t="n">
        <v>4882</v>
      </c>
      <c r="C54" s="26" t="s">
        <v>186</v>
      </c>
      <c r="D54" s="20" t="str">
        <f aca="false">VLOOKUP(B54,[2]sales!$B$2:$D$183,3,0)</f>
        <v>Territory Sales Executive</v>
      </c>
      <c r="E54" s="18" t="s">
        <v>154</v>
      </c>
      <c r="F54" s="18" t="s">
        <v>67</v>
      </c>
      <c r="G54" s="18" t="n">
        <f aca="false">VLOOKUP(B54,'[5]Hosur-Apr''18'!B$5:H$127,7,0)</f>
        <v>25000</v>
      </c>
      <c r="H54" s="18" t="n">
        <f aca="false">VLOOKUP(B54,'[5]Hosur-Apr''18'!B$5:M$127,12,0)</f>
        <v>25000</v>
      </c>
      <c r="I54" s="21" t="str">
        <f aca="false">VLOOKUP(B54,[2]sales!$B$2:$G$183,6,0)</f>
        <v>Tamilnadu</v>
      </c>
      <c r="J54" s="22" t="s">
        <v>39</v>
      </c>
      <c r="K54" s="23" t="s">
        <v>7</v>
      </c>
      <c r="L54" s="25" t="n">
        <f aca="false">IF(H54&gt;21000,0,(H54*4.75%))</f>
        <v>0</v>
      </c>
      <c r="M54" s="25" t="n">
        <f aca="false">IF(H54*70%*12%&gt;1800,1974,(H54*70%*12%))</f>
        <v>1974</v>
      </c>
      <c r="N54" s="25" t="n">
        <f aca="false">H54+L54+M54</f>
        <v>26974</v>
      </c>
    </row>
    <row r="55" customFormat="false" ht="17.25" hidden="false" customHeight="true" outlineLevel="0" collapsed="false">
      <c r="A55" s="19" t="n">
        <v>54</v>
      </c>
      <c r="B55" s="19" t="n">
        <v>2410</v>
      </c>
      <c r="C55" s="26" t="s">
        <v>187</v>
      </c>
      <c r="D55" s="20" t="str">
        <f aca="false">VLOOKUP(B55,[2]sales!$B$2:$D$183,3,0)</f>
        <v>Sr. Territory Sales Executive</v>
      </c>
      <c r="E55" s="18" t="s">
        <v>188</v>
      </c>
      <c r="F55" s="18" t="s">
        <v>79</v>
      </c>
      <c r="G55" s="18" t="n">
        <f aca="false">VLOOKUP(B55,[9]Staff!B$7:H$245,7,0)</f>
        <v>25870</v>
      </c>
      <c r="H55" s="18" t="n">
        <f aca="false">VLOOKUP(B55,[9]Staff!B$7:P$245,15,0)</f>
        <v>25870</v>
      </c>
      <c r="I55" s="21" t="str">
        <f aca="false">VLOOKUP(B55,[2]sales!$B$2:$G$183,6,0)</f>
        <v>Tamilnadu</v>
      </c>
      <c r="J55" s="22" t="s">
        <v>39</v>
      </c>
      <c r="K55" s="23" t="s">
        <v>10</v>
      </c>
      <c r="L55" s="24" t="n">
        <f aca="false">IF(H55&gt;23335,0,(H55*90%*4.75%))</f>
        <v>0</v>
      </c>
      <c r="M55" s="24" t="n">
        <f aca="false">IF(H55*60%*12%&gt;1800,1974,(H55*60%*13.16%))</f>
        <v>1974</v>
      </c>
      <c r="N55" s="25" t="n">
        <f aca="false">H55+L55+M55</f>
        <v>27844</v>
      </c>
    </row>
    <row r="56" customFormat="false" ht="17.25" hidden="false" customHeight="true" outlineLevel="0" collapsed="false">
      <c r="A56" s="18" t="n">
        <v>55</v>
      </c>
      <c r="B56" s="19" t="n">
        <v>2506</v>
      </c>
      <c r="C56" s="26" t="s">
        <v>189</v>
      </c>
      <c r="D56" s="20" t="str">
        <f aca="false">VLOOKUP(B56,[2]sales!$B$2:$D$183,3,0)</f>
        <v>Territory Sales Executive</v>
      </c>
      <c r="E56" s="18" t="s">
        <v>190</v>
      </c>
      <c r="F56" s="18" t="s">
        <v>67</v>
      </c>
      <c r="G56" s="18" t="n">
        <f aca="false">VLOOKUP(B56,[9]Staff!B$7:H$245,7,0)</f>
        <v>23840</v>
      </c>
      <c r="H56" s="18" t="n">
        <f aca="false">VLOOKUP(B56,[9]Staff!B$7:P$245,15,0)</f>
        <v>23840</v>
      </c>
      <c r="I56" s="21" t="str">
        <f aca="false">VLOOKUP(B56,[2]sales!$B$2:$G$183,6,0)</f>
        <v>Tamilnadu</v>
      </c>
      <c r="J56" s="22" t="s">
        <v>133</v>
      </c>
      <c r="K56" s="23" t="s">
        <v>10</v>
      </c>
      <c r="L56" s="24" t="n">
        <f aca="false">IF(H56&gt;23335,0,(H56*90%*4.75%))</f>
        <v>0</v>
      </c>
      <c r="M56" s="24" t="n">
        <f aca="false">IF(H56*60%*12%&gt;1800,1974,(H56*60%*13.16%))</f>
        <v>1882.4064</v>
      </c>
      <c r="N56" s="25" t="n">
        <f aca="false">H56+L56+M56</f>
        <v>25722.4064</v>
      </c>
    </row>
    <row r="57" customFormat="false" ht="31.5" hidden="false" customHeight="true" outlineLevel="0" collapsed="false">
      <c r="A57" s="19" t="n">
        <v>56</v>
      </c>
      <c r="B57" s="19" t="n">
        <v>2568</v>
      </c>
      <c r="C57" s="20" t="s">
        <v>191</v>
      </c>
      <c r="D57" s="20" t="str">
        <f aca="false">VLOOKUP(B57,[2]sales!$B$2:$D$183,3,0)</f>
        <v>Sr. Territory Sales Executive</v>
      </c>
      <c r="E57" s="18" t="s">
        <v>192</v>
      </c>
      <c r="F57" s="18" t="s">
        <v>79</v>
      </c>
      <c r="G57" s="18" t="n">
        <f aca="false">VLOOKUP(B57,'[6]staff klmsy (2)'!$B$7:I$84,8,0)</f>
        <v>21450</v>
      </c>
      <c r="H57" s="18" t="n">
        <f aca="false">VLOOKUP(B57,'[6]staff klmsy (2)'!B$7:R$84,17,0)</f>
        <v>21450</v>
      </c>
      <c r="I57" s="21" t="str">
        <f aca="false">VLOOKUP(B57,[2]sales!$B$2:$G$183,6,0)</f>
        <v>Institution Sales</v>
      </c>
      <c r="J57" s="22" t="s">
        <v>110</v>
      </c>
      <c r="K57" s="23" t="s">
        <v>8</v>
      </c>
      <c r="L57" s="24" t="n">
        <f aca="false">IF(H57&gt;23335,0,(H57*90%*4.75%))</f>
        <v>916.9875</v>
      </c>
      <c r="M57" s="24" t="n">
        <f aca="false">IF(H57*60%*12%&gt;1800,1974,(H57*60%*13.16%))</f>
        <v>1693.692</v>
      </c>
      <c r="N57" s="25" t="n">
        <f aca="false">H57+L57+M57</f>
        <v>24060.6795</v>
      </c>
    </row>
    <row r="58" customFormat="false" ht="17.25" hidden="false" customHeight="false" outlineLevel="0" collapsed="false">
      <c r="A58" s="18" t="n">
        <v>57</v>
      </c>
      <c r="B58" s="19" t="n">
        <v>2690</v>
      </c>
      <c r="C58" s="32" t="s">
        <v>193</v>
      </c>
      <c r="D58" s="20" t="s">
        <v>180</v>
      </c>
      <c r="E58" s="18" t="s">
        <v>194</v>
      </c>
      <c r="F58" s="18" t="s">
        <v>58</v>
      </c>
      <c r="G58" s="18" t="n">
        <f aca="false">VLOOKUP(B58,'[4]salary aroor'!B$7:H$52,7,0)</f>
        <v>23160</v>
      </c>
      <c r="H58" s="18" t="n">
        <f aca="false">VLOOKUP(B58,'[4]salary aroor'!B$7:L$52,11,0)</f>
        <v>23160</v>
      </c>
      <c r="I58" s="21" t="str">
        <f aca="false">VLOOKUP(B58,[2]sales!$B$2:$G$183,6,0)</f>
        <v>Bakery South</v>
      </c>
      <c r="J58" s="22" t="s">
        <v>195</v>
      </c>
      <c r="K58" s="23" t="s">
        <v>4</v>
      </c>
      <c r="L58" s="24" t="n">
        <f aca="false">IF(H58&gt;23335,0,(H58*90%*4.75%))</f>
        <v>990.09</v>
      </c>
      <c r="M58" s="24" t="n">
        <f aca="false">IF(H58*60%*12%&gt;1800,1974,(H58*60%*13.16%))</f>
        <v>1828.7136</v>
      </c>
      <c r="N58" s="25" t="n">
        <f aca="false">H58+L58+M58</f>
        <v>25978.8036</v>
      </c>
    </row>
    <row r="59" customFormat="false" ht="17.25" hidden="false" customHeight="true" outlineLevel="0" collapsed="false">
      <c r="A59" s="19" t="n">
        <v>58</v>
      </c>
      <c r="B59" s="19" t="n">
        <v>2692</v>
      </c>
      <c r="C59" s="26" t="s">
        <v>196</v>
      </c>
      <c r="D59" s="20" t="str">
        <f aca="false">VLOOKUP(B59,[2]sales!$B$2:$D$183,3,0)</f>
        <v>Territory Sales Executive</v>
      </c>
      <c r="E59" s="18" t="s">
        <v>197</v>
      </c>
      <c r="F59" s="18" t="s">
        <v>67</v>
      </c>
      <c r="G59" s="18" t="n">
        <f aca="false">VLOOKUP(B59,[9]Staff!B$7:H$245,7,0)</f>
        <v>17210</v>
      </c>
      <c r="H59" s="18" t="n">
        <f aca="false">VLOOKUP(B59,[9]Staff!B$7:P$245,15,0)</f>
        <v>17210</v>
      </c>
      <c r="I59" s="21" t="str">
        <f aca="false">VLOOKUP(B59,[2]sales!$B$2:$G$183,6,0)</f>
        <v>CPD North</v>
      </c>
      <c r="J59" s="22" t="s">
        <v>76</v>
      </c>
      <c r="K59" s="23" t="s">
        <v>10</v>
      </c>
      <c r="L59" s="24" t="n">
        <f aca="false">IF(H59&gt;23335,0,(H59*90%*4.75%))</f>
        <v>735.7275</v>
      </c>
      <c r="M59" s="24" t="n">
        <f aca="false">IF(H59*60%*12%&gt;1800,1974,(H59*60%*13.16%))</f>
        <v>1358.9016</v>
      </c>
      <c r="N59" s="25" t="n">
        <f aca="false">H59+L59+M59</f>
        <v>19304.6291</v>
      </c>
    </row>
    <row r="60" customFormat="false" ht="17.25" hidden="false" customHeight="true" outlineLevel="0" collapsed="false">
      <c r="A60" s="18" t="n">
        <v>59</v>
      </c>
      <c r="B60" s="19" t="n">
        <v>2693</v>
      </c>
      <c r="C60" s="26" t="s">
        <v>198</v>
      </c>
      <c r="D60" s="20" t="str">
        <f aca="false">VLOOKUP(B60,[2]sales!$B$2:$D$183,3,0)</f>
        <v>Territory Sales Executive</v>
      </c>
      <c r="E60" s="18" t="s">
        <v>197</v>
      </c>
      <c r="F60" s="18" t="s">
        <v>67</v>
      </c>
      <c r="G60" s="18" t="n">
        <f aca="false">VLOOKUP(B60,[9]Staff!B$7:H$245,7,0)</f>
        <v>14560</v>
      </c>
      <c r="H60" s="18" t="n">
        <f aca="false">VLOOKUP(B60,[9]Staff!B$7:P$245,15,0)</f>
        <v>14560</v>
      </c>
      <c r="I60" s="21" t="str">
        <f aca="false">VLOOKUP(B60,[2]sales!$B$2:$G$183,6,0)</f>
        <v>Bulk</v>
      </c>
      <c r="J60" s="22" t="s">
        <v>27</v>
      </c>
      <c r="K60" s="23" t="s">
        <v>10</v>
      </c>
      <c r="L60" s="24" t="n">
        <f aca="false">IF(H60&gt;23335,0,(H60*90%*4.75%))</f>
        <v>622.44</v>
      </c>
      <c r="M60" s="24" t="n">
        <f aca="false">IF(H60*60%*12%&gt;1800,1974,(H60*60%*13.16%))</f>
        <v>1149.6576</v>
      </c>
      <c r="N60" s="25" t="n">
        <f aca="false">H60+L60+M60</f>
        <v>16332.0976</v>
      </c>
    </row>
    <row r="61" customFormat="false" ht="17.25" hidden="false" customHeight="true" outlineLevel="0" collapsed="false">
      <c r="A61" s="19" t="n">
        <v>60</v>
      </c>
      <c r="B61" s="19" t="n">
        <v>4503</v>
      </c>
      <c r="C61" s="26" t="s">
        <v>199</v>
      </c>
      <c r="D61" s="20" t="str">
        <f aca="false">VLOOKUP(B61,[2]sales!$B$2:$D$183,3,0)</f>
        <v>Territory Sales Executive</v>
      </c>
      <c r="E61" s="18" t="s">
        <v>200</v>
      </c>
      <c r="F61" s="18" t="s">
        <v>67</v>
      </c>
      <c r="G61" s="18" t="n">
        <f aca="false">VLOOKUP(B61,'[5]Hosur-Apr''18'!B$5:H$127,7,0)</f>
        <v>18000</v>
      </c>
      <c r="H61" s="18" t="n">
        <f aca="false">VLOOKUP(B61,'[5]Hosur-Apr''18'!B$5:M$127,12,0)</f>
        <v>18000</v>
      </c>
      <c r="I61" s="21" t="str">
        <f aca="false">VLOOKUP(B61,[2]sales!$B$2:$G$183,6,0)</f>
        <v>Tamilnadu</v>
      </c>
      <c r="J61" s="22" t="s">
        <v>39</v>
      </c>
      <c r="K61" s="23" t="s">
        <v>7</v>
      </c>
      <c r="L61" s="25" t="n">
        <f aca="false">IF(H61&gt;21000,0,(H61*4.75%))</f>
        <v>855</v>
      </c>
      <c r="M61" s="25" t="n">
        <f aca="false">IF(H61*70%*12%&gt;1800,1974,(H61*70%*12%))</f>
        <v>1512</v>
      </c>
      <c r="N61" s="25" t="n">
        <f aca="false">H61+L61+M61</f>
        <v>20367</v>
      </c>
    </row>
    <row r="62" customFormat="false" ht="20.25" hidden="false" customHeight="true" outlineLevel="0" collapsed="false">
      <c r="A62" s="18" t="n">
        <v>61</v>
      </c>
      <c r="B62" s="19" t="n">
        <v>2719</v>
      </c>
      <c r="C62" s="26" t="s">
        <v>201</v>
      </c>
      <c r="D62" s="20" t="str">
        <f aca="false">VLOOKUP(B62,[2]sales!$B$2:$D$183,3,0)</f>
        <v>Area Sales Manager</v>
      </c>
      <c r="E62" s="18" t="s">
        <v>202</v>
      </c>
      <c r="F62" s="18" t="s">
        <v>58</v>
      </c>
      <c r="G62" s="18" t="n">
        <f aca="false">VLOOKUP(B62,[9]Staff!B$7:H$245,7,0)</f>
        <v>65000</v>
      </c>
      <c r="H62" s="18" t="n">
        <f aca="false">VLOOKUP(B62,[9]Staff!B$7:P$245,15,0)</f>
        <v>65000</v>
      </c>
      <c r="I62" s="21" t="str">
        <f aca="false">VLOOKUP(B62,[2]sales!$B$2:$G$183,6,0)</f>
        <v>Karnataka</v>
      </c>
      <c r="J62" s="22" t="s">
        <v>33</v>
      </c>
      <c r="K62" s="23" t="s">
        <v>10</v>
      </c>
      <c r="L62" s="24" t="n">
        <f aca="false">IF(H62&gt;23335,0,(H62*90%*4.75%))</f>
        <v>0</v>
      </c>
      <c r="M62" s="24" t="n">
        <f aca="false">IF(H62*60%*12%&gt;1800,1974,(H62*60%*13.16%))</f>
        <v>1974</v>
      </c>
      <c r="N62" s="25" t="n">
        <f aca="false">H62+L62+M62</f>
        <v>66974</v>
      </c>
    </row>
    <row r="63" customFormat="false" ht="15.75" hidden="false" customHeight="true" outlineLevel="0" collapsed="false">
      <c r="A63" s="19" t="n">
        <v>62</v>
      </c>
      <c r="B63" s="19" t="n">
        <v>4881</v>
      </c>
      <c r="C63" s="26" t="s">
        <v>203</v>
      </c>
      <c r="D63" s="20" t="str">
        <f aca="false">VLOOKUP(B63,[2]sales!$B$2:$D$183,3,0)</f>
        <v>Sr. Territory Sales Executive</v>
      </c>
      <c r="E63" s="18" t="s">
        <v>154</v>
      </c>
      <c r="F63" s="18" t="s">
        <v>79</v>
      </c>
      <c r="G63" s="18" t="n">
        <f aca="false">VLOOKUP(B63,'[5]Hosur-Apr''18'!B$5:H$127,7,0)</f>
        <v>37500</v>
      </c>
      <c r="H63" s="18" t="n">
        <f aca="false">VLOOKUP(B63,'[5]Hosur-Apr''18'!B$5:M$127,12,0)</f>
        <v>37500</v>
      </c>
      <c r="I63" s="21" t="str">
        <f aca="false">VLOOKUP(B63,[2]sales!$B$2:$G$183,6,0)</f>
        <v>Karnataka</v>
      </c>
      <c r="J63" s="22" t="s">
        <v>33</v>
      </c>
      <c r="K63" s="23" t="s">
        <v>7</v>
      </c>
      <c r="L63" s="25" t="n">
        <f aca="false">IF(H63&gt;21000,0,(H63*4.75%))</f>
        <v>0</v>
      </c>
      <c r="M63" s="25" t="n">
        <f aca="false">IF(H63*70%*12%&gt;1800,1974,(H63*70%*12%))</f>
        <v>1974</v>
      </c>
      <c r="N63" s="25" t="n">
        <f aca="false">H63+L63+M63</f>
        <v>39474</v>
      </c>
    </row>
    <row r="64" customFormat="false" ht="17.25" hidden="false" customHeight="true" outlineLevel="0" collapsed="false">
      <c r="A64" s="18" t="n">
        <v>63</v>
      </c>
      <c r="B64" s="19" t="n">
        <v>2791</v>
      </c>
      <c r="C64" s="26" t="s">
        <v>204</v>
      </c>
      <c r="D64" s="20" t="str">
        <f aca="false">VLOOKUP(B64,[2]sales!$B$2:$D$183,3,0)</f>
        <v>Territory Sales Executive</v>
      </c>
      <c r="E64" s="18" t="s">
        <v>205</v>
      </c>
      <c r="F64" s="18" t="s">
        <v>67</v>
      </c>
      <c r="G64" s="18" t="n">
        <f aca="false">VLOOKUP(B64,[9]Staff!B$7:H$245,7,0)</f>
        <v>17110</v>
      </c>
      <c r="H64" s="18" t="n">
        <f aca="false">VLOOKUP(B64,[9]Staff!B$7:P$245,15,0)</f>
        <v>17110</v>
      </c>
      <c r="I64" s="21" t="str">
        <f aca="false">VLOOKUP(B64,[2]sales!$B$2:$G$183,6,0)</f>
        <v>Bulk</v>
      </c>
      <c r="J64" s="22" t="s">
        <v>27</v>
      </c>
      <c r="K64" s="23" t="s">
        <v>10</v>
      </c>
      <c r="L64" s="24" t="n">
        <f aca="false">IF(H64&gt;23335,0,(H64*90%*4.75%))</f>
        <v>731.4525</v>
      </c>
      <c r="M64" s="24" t="n">
        <f aca="false">IF(H64*60%*12%&gt;1800,1974,(H64*60%*13.16%))</f>
        <v>1351.0056</v>
      </c>
      <c r="N64" s="25" t="n">
        <f aca="false">H64+L64+M64</f>
        <v>19192.4581</v>
      </c>
    </row>
    <row r="65" customFormat="false" ht="14.25" hidden="false" customHeight="true" outlineLevel="0" collapsed="false">
      <c r="A65" s="19" t="n">
        <v>64</v>
      </c>
      <c r="B65" s="19" t="n">
        <v>2809</v>
      </c>
      <c r="C65" s="26" t="s">
        <v>206</v>
      </c>
      <c r="D65" s="20" t="str">
        <f aca="false">VLOOKUP(B65,[2]sales!$B$2:$D$183,3,0)</f>
        <v>Area Sales Manager</v>
      </c>
      <c r="E65" s="18" t="s">
        <v>207</v>
      </c>
      <c r="F65" s="18" t="s">
        <v>64</v>
      </c>
      <c r="G65" s="18" t="n">
        <f aca="false">VLOOKUP(B65,[9]Staff!B$7:H$245,7,0)</f>
        <v>65000</v>
      </c>
      <c r="H65" s="18" t="n">
        <f aca="false">VLOOKUP(B65,[9]Staff!B$7:P$245,15,0)</f>
        <v>65000</v>
      </c>
      <c r="I65" s="21" t="str">
        <f aca="false">VLOOKUP(B65,[2]sales!$B$2:$G$183,6,0)</f>
        <v>Karnataka</v>
      </c>
      <c r="J65" s="22" t="s">
        <v>33</v>
      </c>
      <c r="K65" s="23" t="s">
        <v>10</v>
      </c>
      <c r="L65" s="24" t="n">
        <f aca="false">IF(H65&gt;23335,0,(H65*90%*4.75%))</f>
        <v>0</v>
      </c>
      <c r="M65" s="24" t="n">
        <f aca="false">IF(H65*60%*12%&gt;1800,1974,(H65*60%*13.16%))</f>
        <v>1974</v>
      </c>
      <c r="N65" s="25" t="n">
        <f aca="false">H65+L65+M65</f>
        <v>66974</v>
      </c>
    </row>
    <row r="66" customFormat="false" ht="17.25" hidden="false" customHeight="true" outlineLevel="0" collapsed="false">
      <c r="A66" s="18" t="n">
        <v>65</v>
      </c>
      <c r="B66" s="19" t="n">
        <v>2839</v>
      </c>
      <c r="C66" s="26" t="s">
        <v>208</v>
      </c>
      <c r="D66" s="20" t="str">
        <f aca="false">VLOOKUP(B66,[2]sales!$B$2:$D$183,3,0)</f>
        <v>Territory Sales Executive</v>
      </c>
      <c r="E66" s="18" t="s">
        <v>209</v>
      </c>
      <c r="F66" s="18" t="s">
        <v>67</v>
      </c>
      <c r="G66" s="18" t="n">
        <f aca="false">VLOOKUP(B66,[9]Staff!B$7:H$245,7,0)</f>
        <v>18610</v>
      </c>
      <c r="H66" s="18" t="n">
        <f aca="false">VLOOKUP(B66,[9]Staff!B$7:P$245,15,0)</f>
        <v>18610</v>
      </c>
      <c r="I66" s="21" t="str">
        <f aca="false">VLOOKUP(B66,[2]sales!$B$2:$G$183,6,0)</f>
        <v>CPD South</v>
      </c>
      <c r="J66" s="22" t="s">
        <v>76</v>
      </c>
      <c r="K66" s="23" t="s">
        <v>10</v>
      </c>
      <c r="L66" s="24" t="n">
        <f aca="false">IF(H66&gt;23335,0,(H66*90%*4.75%))</f>
        <v>795.5775</v>
      </c>
      <c r="M66" s="24" t="n">
        <f aca="false">IF(H66*60%*12%&gt;1800,1974,(H66*60%*13.16%))</f>
        <v>1469.4456</v>
      </c>
      <c r="N66" s="25" t="n">
        <f aca="false">H66+L66+M66</f>
        <v>20875.0231</v>
      </c>
    </row>
    <row r="67" customFormat="false" ht="17.25" hidden="false" customHeight="true" outlineLevel="0" collapsed="false">
      <c r="A67" s="19" t="n">
        <v>66</v>
      </c>
      <c r="B67" s="19" t="n">
        <v>2847</v>
      </c>
      <c r="C67" s="20" t="s">
        <v>210</v>
      </c>
      <c r="D67" s="20" t="str">
        <f aca="false">VLOOKUP(B67,[2]sales!$B$2:$D$183,3,0)</f>
        <v>Territory Sales Executive</v>
      </c>
      <c r="E67" s="18" t="s">
        <v>211</v>
      </c>
      <c r="F67" s="18" t="s">
        <v>67</v>
      </c>
      <c r="G67" s="18" t="n">
        <f aca="false">VLOOKUP(B67,[9]Staff!B$7:H$245,7,0)</f>
        <v>20630</v>
      </c>
      <c r="H67" s="18" t="n">
        <f aca="false">VLOOKUP(B67,[9]Staff!B$7:P$245,15,0)</f>
        <v>20630</v>
      </c>
      <c r="I67" s="21" t="str">
        <f aca="false">VLOOKUP(B67,[2]sales!$B$2:$G$183,6,0)</f>
        <v>CPD South</v>
      </c>
      <c r="J67" s="22" t="s">
        <v>76</v>
      </c>
      <c r="K67" s="23" t="s">
        <v>10</v>
      </c>
      <c r="L67" s="24" t="n">
        <f aca="false">IF(H67&gt;23335,0,(H67*90%*4.75%))</f>
        <v>881.9325</v>
      </c>
      <c r="M67" s="24" t="n">
        <f aca="false">IF(H67*60%*12%&gt;1800,1974,(H67*60%*13.16%))</f>
        <v>1628.9448</v>
      </c>
      <c r="N67" s="25" t="n">
        <f aca="false">H67+L67+M67</f>
        <v>23140.8773</v>
      </c>
    </row>
    <row r="68" customFormat="false" ht="17.25" hidden="false" customHeight="true" outlineLevel="0" collapsed="false">
      <c r="A68" s="18" t="n">
        <v>67</v>
      </c>
      <c r="B68" s="19" t="n">
        <v>2871</v>
      </c>
      <c r="C68" s="33" t="s">
        <v>212</v>
      </c>
      <c r="D68" s="20" t="str">
        <f aca="false">VLOOKUP(B68,[2]sales!$B$2:$D$183,3,0)</f>
        <v>Territory Sales Executive</v>
      </c>
      <c r="E68" s="18" t="s">
        <v>213</v>
      </c>
      <c r="F68" s="18" t="s">
        <v>67</v>
      </c>
      <c r="G68" s="18" t="n">
        <f aca="false">VLOOKUP(B68,[9]Staff!B$7:H$245,7,0)</f>
        <v>15390</v>
      </c>
      <c r="H68" s="18" t="n">
        <f aca="false">VLOOKUP(B68,[9]Staff!B$7:P$245,15,0)</f>
        <v>15390</v>
      </c>
      <c r="I68" s="21" t="str">
        <f aca="false">VLOOKUP(B68,[2]sales!$B$2:$G$183,6,0)</f>
        <v>Bakery South</v>
      </c>
      <c r="J68" s="22" t="s">
        <v>214</v>
      </c>
      <c r="K68" s="23" t="s">
        <v>10</v>
      </c>
      <c r="L68" s="24" t="n">
        <f aca="false">IF(H68&gt;23335,0,(H68*90%*4.75%))</f>
        <v>657.9225</v>
      </c>
      <c r="M68" s="24" t="n">
        <f aca="false">IF(H68*60%*12%&gt;1800,1974,(H68*60%*13.16%))</f>
        <v>1215.1944</v>
      </c>
      <c r="N68" s="25" t="n">
        <f aca="false">H68+L68+M68</f>
        <v>17263.1169</v>
      </c>
    </row>
    <row r="69" customFormat="false" ht="17.25" hidden="false" customHeight="true" outlineLevel="0" collapsed="false">
      <c r="A69" s="19" t="n">
        <v>68</v>
      </c>
      <c r="B69" s="19" t="n">
        <v>2925</v>
      </c>
      <c r="C69" s="26" t="s">
        <v>215</v>
      </c>
      <c r="D69" s="20" t="str">
        <f aca="false">VLOOKUP(B69,[2]sales!$B$2:$D$183,3,0)</f>
        <v>Territory Sales Manager </v>
      </c>
      <c r="E69" s="18" t="s">
        <v>216</v>
      </c>
      <c r="F69" s="18" t="s">
        <v>58</v>
      </c>
      <c r="G69" s="18" t="n">
        <f aca="false">VLOOKUP(B69,[9]Staff!B$7:H$245,7,0)</f>
        <v>25305</v>
      </c>
      <c r="H69" s="18" t="n">
        <f aca="false">VLOOKUP(B69,[9]Staff!B$7:P$245,15,0)</f>
        <v>25305</v>
      </c>
      <c r="I69" s="21" t="str">
        <f aca="false">VLOOKUP(B69,[2]sales!$B$2:$G$183,6,0)</f>
        <v>Bakery South</v>
      </c>
      <c r="J69" s="22" t="s">
        <v>76</v>
      </c>
      <c r="K69" s="23" t="s">
        <v>10</v>
      </c>
      <c r="L69" s="24" t="n">
        <f aca="false">IF(H69&gt;23335,0,(H69*90%*4.75%))</f>
        <v>0</v>
      </c>
      <c r="M69" s="24" t="n">
        <f aca="false">IF(H69*60%*12%&gt;1800,1974,(H69*60%*13.16%))</f>
        <v>1974</v>
      </c>
      <c r="N69" s="25" t="n">
        <f aca="false">H69+L69+M69</f>
        <v>27279</v>
      </c>
    </row>
    <row r="70" customFormat="false" ht="17.25" hidden="false" customHeight="true" outlineLevel="0" collapsed="false">
      <c r="A70" s="18" t="n">
        <v>69</v>
      </c>
      <c r="B70" s="19" t="n">
        <v>3355</v>
      </c>
      <c r="C70" s="20" t="s">
        <v>217</v>
      </c>
      <c r="D70" s="20" t="str">
        <f aca="false">VLOOKUP(B70,[2]sales!$B$2:$D$183,3,0)</f>
        <v>Territory Sales Executive</v>
      </c>
      <c r="E70" s="20" t="s">
        <v>218</v>
      </c>
      <c r="F70" s="18" t="s">
        <v>67</v>
      </c>
      <c r="G70" s="18" t="n">
        <f aca="false">VLOOKUP(B70,'[3]april (2)'!B$8:H$132,7,0)</f>
        <v>14550</v>
      </c>
      <c r="H70" s="18" t="n">
        <f aca="false">VLOOKUP(B70,'[3]april (2)'!B$8:N$132,13,0)</f>
        <v>14550</v>
      </c>
      <c r="I70" s="21" t="str">
        <f aca="false">VLOOKUP(B70,[2]sales!$B$2:$G$183,6,0)</f>
        <v>CPD South</v>
      </c>
      <c r="J70" s="22" t="s">
        <v>76</v>
      </c>
      <c r="K70" s="23" t="s">
        <v>3</v>
      </c>
      <c r="L70" s="24" t="n">
        <f aca="false">IF(H70&gt;23335,0,(H70*90%*4.75%))</f>
        <v>622.0125</v>
      </c>
      <c r="M70" s="24" t="n">
        <f aca="false">IF(H70*60%*12%&gt;1800,1974,(H70*60%*13.16%))</f>
        <v>1148.868</v>
      </c>
      <c r="N70" s="25" t="n">
        <f aca="false">H70+L70+M70</f>
        <v>16320.8805</v>
      </c>
    </row>
    <row r="71" customFormat="false" ht="17.25" hidden="false" customHeight="true" outlineLevel="0" collapsed="false">
      <c r="A71" s="19" t="n">
        <v>70</v>
      </c>
      <c r="B71" s="19" t="n">
        <v>2961</v>
      </c>
      <c r="C71" s="20" t="s">
        <v>219</v>
      </c>
      <c r="D71" s="20" t="s">
        <v>135</v>
      </c>
      <c r="E71" s="18" t="s">
        <v>220</v>
      </c>
      <c r="F71" s="18" t="s">
        <v>67</v>
      </c>
      <c r="G71" s="18" t="n">
        <f aca="false">VLOOKUP(B71,[9]Staff!B$7:H$245,7,0)</f>
        <v>12710</v>
      </c>
      <c r="H71" s="18" t="n">
        <f aca="false">VLOOKUP(B71,[9]Staff!B$7:P$245,15,0)</f>
        <v>12710</v>
      </c>
      <c r="I71" s="21" t="s">
        <v>76</v>
      </c>
      <c r="J71" s="22" t="s">
        <v>76</v>
      </c>
      <c r="K71" s="23" t="s">
        <v>10</v>
      </c>
      <c r="L71" s="24" t="n">
        <f aca="false">IF(H71&gt;23335,0,(H71*90%*4.75%))</f>
        <v>543.3525</v>
      </c>
      <c r="M71" s="24" t="n">
        <f aca="false">IF(H71*60%*12%&gt;1800,1974,(H71*60%*13.16%))</f>
        <v>1003.5816</v>
      </c>
      <c r="N71" s="25" t="n">
        <f aca="false">H71+L71+M71</f>
        <v>14256.9341</v>
      </c>
    </row>
    <row r="72" customFormat="false" ht="17.25" hidden="false" customHeight="true" outlineLevel="0" collapsed="false">
      <c r="A72" s="18" t="n">
        <v>71</v>
      </c>
      <c r="B72" s="19" t="n">
        <v>3005</v>
      </c>
      <c r="C72" s="20" t="s">
        <v>221</v>
      </c>
      <c r="D72" s="20" t="str">
        <f aca="false">VLOOKUP(B72,[2]sales!$B$2:$D$183,3,0)</f>
        <v>Area Sales Manager</v>
      </c>
      <c r="E72" s="18" t="s">
        <v>222</v>
      </c>
      <c r="F72" s="18" t="s">
        <v>64</v>
      </c>
      <c r="G72" s="18" t="n">
        <f aca="false">VLOOKUP(B72,[9]Staff!B$7:H$245,7,0)</f>
        <v>48340</v>
      </c>
      <c r="H72" s="18" t="n">
        <f aca="false">VLOOKUP(B72,[9]Staff!B$7:P$245,15,0)</f>
        <v>48340</v>
      </c>
      <c r="I72" s="21" t="str">
        <f aca="false">VLOOKUP(B72,[2]sales!$B$2:$G$183,6,0)</f>
        <v>Tamilnadu</v>
      </c>
      <c r="J72" s="22" t="s">
        <v>39</v>
      </c>
      <c r="K72" s="23" t="s">
        <v>10</v>
      </c>
      <c r="L72" s="24" t="n">
        <f aca="false">IF(H72&gt;23335,0,(H72*90%*4.75%))</f>
        <v>0</v>
      </c>
      <c r="M72" s="24" t="n">
        <f aca="false">IF(H72*60%*12%&gt;1800,1974,(H72*60%*13.16%))</f>
        <v>1974</v>
      </c>
      <c r="N72" s="25" t="n">
        <f aca="false">H72+L72+M72</f>
        <v>50314</v>
      </c>
    </row>
    <row r="73" customFormat="false" ht="17.25" hidden="false" customHeight="true" outlineLevel="0" collapsed="false">
      <c r="A73" s="19" t="n">
        <v>72</v>
      </c>
      <c r="B73" s="19" t="n">
        <v>5009</v>
      </c>
      <c r="C73" s="20" t="s">
        <v>223</v>
      </c>
      <c r="D73" s="20" t="s">
        <v>224</v>
      </c>
      <c r="E73" s="18" t="s">
        <v>225</v>
      </c>
      <c r="F73" s="18" t="s">
        <v>67</v>
      </c>
      <c r="G73" s="18" t="n">
        <f aca="false">VLOOKUP(B73,'[5]Hosur-Apr''18'!B$5:H$127,7,0)</f>
        <v>19000</v>
      </c>
      <c r="H73" s="18" t="n">
        <f aca="false">VLOOKUP(B73,'[5]Hosur-Apr''18'!B$5:M$127,12,0)</f>
        <v>4446</v>
      </c>
      <c r="I73" s="21" t="s">
        <v>42</v>
      </c>
      <c r="J73" s="22"/>
      <c r="K73" s="23" t="s">
        <v>7</v>
      </c>
      <c r="L73" s="25" t="n">
        <f aca="false">IF(H73&gt;21000,0,(H73*4.75%))</f>
        <v>211.185</v>
      </c>
      <c r="M73" s="25" t="n">
        <f aca="false">IF(H73*70%*12%&gt;1800,1974,(H73*70%*12%))</f>
        <v>373.464</v>
      </c>
      <c r="N73" s="25" t="n">
        <f aca="false">H73+L73+M73</f>
        <v>5030.649</v>
      </c>
    </row>
    <row r="74" customFormat="false" ht="17.25" hidden="false" customHeight="true" outlineLevel="0" collapsed="false">
      <c r="A74" s="18" t="n">
        <v>73</v>
      </c>
      <c r="B74" s="19" t="n">
        <v>3006</v>
      </c>
      <c r="C74" s="26" t="s">
        <v>226</v>
      </c>
      <c r="D74" s="20" t="str">
        <f aca="false">VLOOKUP(B74,[2]sales!$B$2:$D$183,3,0)</f>
        <v>Area Sales Manager</v>
      </c>
      <c r="E74" s="18" t="s">
        <v>227</v>
      </c>
      <c r="F74" s="18" t="s">
        <v>64</v>
      </c>
      <c r="G74" s="18" t="n">
        <f aca="false">VLOOKUP(B74,[9]Staff!B$7:H$245,7,0)</f>
        <v>48740</v>
      </c>
      <c r="H74" s="18" t="n">
        <f aca="false">VLOOKUP(B74,[9]Staff!B$7:P$245,15,0)</f>
        <v>48740</v>
      </c>
      <c r="I74" s="21" t="str">
        <f aca="false">VLOOKUP(B74,[2]sales!$B$2:$G$183,6,0)</f>
        <v>Tamilnadu</v>
      </c>
      <c r="J74" s="22" t="s">
        <v>39</v>
      </c>
      <c r="K74" s="23" t="s">
        <v>10</v>
      </c>
      <c r="L74" s="24" t="n">
        <f aca="false">IF(H74&gt;23335,0,(H74*90%*4.75%))</f>
        <v>0</v>
      </c>
      <c r="M74" s="24" t="n">
        <f aca="false">IF(H74*60%*12%&gt;1800,1974,(H74*60%*13.16%))</f>
        <v>1974</v>
      </c>
      <c r="N74" s="25" t="n">
        <f aca="false">H74+L74+M74</f>
        <v>50714</v>
      </c>
    </row>
    <row r="75" customFormat="false" ht="17.25" hidden="false" customHeight="true" outlineLevel="0" collapsed="false">
      <c r="A75" s="19" t="n">
        <v>74</v>
      </c>
      <c r="B75" s="19" t="n">
        <v>3009</v>
      </c>
      <c r="C75" s="20" t="s">
        <v>228</v>
      </c>
      <c r="D75" s="20" t="str">
        <f aca="false">VLOOKUP(B75,[2]sales!$B$2:$D$183,3,0)</f>
        <v>Territory Sales Executive</v>
      </c>
      <c r="E75" s="18" t="s">
        <v>229</v>
      </c>
      <c r="F75" s="18" t="s">
        <v>67</v>
      </c>
      <c r="G75" s="18" t="n">
        <f aca="false">VLOOKUP(B75,[9]Staff!B$7:H$245,7,0)</f>
        <v>21990</v>
      </c>
      <c r="H75" s="18" t="n">
        <f aca="false">VLOOKUP(B75,[9]Staff!B$7:P$245,15,0)</f>
        <v>21990</v>
      </c>
      <c r="I75" s="21" t="str">
        <f aca="false">VLOOKUP(B75,[2]sales!$B$2:$G$183,6,0)</f>
        <v>Tamilnadu</v>
      </c>
      <c r="J75" s="22" t="s">
        <v>39</v>
      </c>
      <c r="K75" s="23" t="s">
        <v>10</v>
      </c>
      <c r="L75" s="24" t="n">
        <f aca="false">IF(H75&gt;23335,0,(H75*90%*4.75%))</f>
        <v>940.0725</v>
      </c>
      <c r="M75" s="24" t="n">
        <f aca="false">IF(H75*60%*12%&gt;1800,1974,(H75*60%*13.16%))</f>
        <v>1736.3304</v>
      </c>
      <c r="N75" s="25" t="n">
        <f aca="false">H75+L75+M75</f>
        <v>24666.4029</v>
      </c>
    </row>
    <row r="76" customFormat="false" ht="17.25" hidden="false" customHeight="true" outlineLevel="0" collapsed="false">
      <c r="A76" s="18" t="n">
        <v>75</v>
      </c>
      <c r="B76" s="19" t="n">
        <v>3024</v>
      </c>
      <c r="C76" s="20" t="s">
        <v>230</v>
      </c>
      <c r="D76" s="20" t="str">
        <f aca="false">VLOOKUP(B76,[2]sales!$B$2:$D$183,3,0)</f>
        <v>Territory Sales Executive</v>
      </c>
      <c r="E76" s="18" t="s">
        <v>231</v>
      </c>
      <c r="F76" s="18" t="s">
        <v>67</v>
      </c>
      <c r="G76" s="18" t="n">
        <f aca="false">VLOOKUP(B76,'[3]april (2)'!B$8:H$132,7,0)</f>
        <v>17860</v>
      </c>
      <c r="H76" s="18" t="n">
        <f aca="false">VLOOKUP(B76,'[3]april (2)'!B$8:N$132,13,0)</f>
        <v>17860</v>
      </c>
      <c r="I76" s="21" t="str">
        <f aca="false">VLOOKUP(B76,[2]sales!$B$2:$G$183,6,0)</f>
        <v>Institution Sales</v>
      </c>
      <c r="J76" s="22" t="s">
        <v>25</v>
      </c>
      <c r="K76" s="23" t="s">
        <v>3</v>
      </c>
      <c r="L76" s="24" t="n">
        <f aca="false">IF(H76&gt;23335,0,(H76*90%*4.75%))</f>
        <v>763.515</v>
      </c>
      <c r="M76" s="24" t="n">
        <f aca="false">IF(H76*60%*12%&gt;1800,1974,(H76*60%*13.16%))</f>
        <v>1410.2256</v>
      </c>
      <c r="N76" s="25" t="n">
        <f aca="false">H76+L76+M76</f>
        <v>20033.7406</v>
      </c>
    </row>
    <row r="77" customFormat="false" ht="16.5" hidden="false" customHeight="true" outlineLevel="0" collapsed="false">
      <c r="A77" s="19" t="n">
        <v>76</v>
      </c>
      <c r="B77" s="19" t="n">
        <v>3053</v>
      </c>
      <c r="C77" s="20" t="s">
        <v>232</v>
      </c>
      <c r="D77" s="20" t="str">
        <f aca="false">VLOOKUP(B77,[2]sales!$B$2:$D$183,3,0)</f>
        <v>Territory Sales Executive</v>
      </c>
      <c r="E77" s="18" t="s">
        <v>233</v>
      </c>
      <c r="F77" s="18" t="s">
        <v>67</v>
      </c>
      <c r="G77" s="18" t="n">
        <f aca="false">VLOOKUP(B77,'[3]april (2)'!B$8:H$132,7,0)</f>
        <v>17230</v>
      </c>
      <c r="H77" s="18" t="n">
        <f aca="false">VLOOKUP(B77,'[3]april (2)'!B$8:N$132,13,0)</f>
        <v>17230</v>
      </c>
      <c r="I77" s="21" t="str">
        <f aca="false">VLOOKUP(B77,[2]sales!$B$2:$G$183,6,0)</f>
        <v>Institution Sales</v>
      </c>
      <c r="J77" s="22" t="s">
        <v>25</v>
      </c>
      <c r="K77" s="23" t="s">
        <v>3</v>
      </c>
      <c r="L77" s="24" t="n">
        <f aca="false">IF(H77&gt;23335,0,(H77*90%*4.75%))</f>
        <v>736.5825</v>
      </c>
      <c r="M77" s="24" t="n">
        <f aca="false">IF(H77*60%*12%&gt;1800,1974,(H77*60%*13.16%))</f>
        <v>1360.4808</v>
      </c>
      <c r="N77" s="25" t="n">
        <f aca="false">H77+L77+M77</f>
        <v>19327.0633</v>
      </c>
    </row>
    <row r="78" customFormat="false" ht="17.25" hidden="false" customHeight="true" outlineLevel="0" collapsed="false">
      <c r="A78" s="18" t="n">
        <v>77</v>
      </c>
      <c r="B78" s="19" t="n">
        <v>3059</v>
      </c>
      <c r="C78" s="20" t="s">
        <v>234</v>
      </c>
      <c r="D78" s="20" t="str">
        <f aca="false">VLOOKUP(B78,[2]sales!$B$2:$D$183,3,0)</f>
        <v>Territory Sales Executive</v>
      </c>
      <c r="E78" s="18" t="s">
        <v>235</v>
      </c>
      <c r="F78" s="18" t="s">
        <v>67</v>
      </c>
      <c r="G78" s="18" t="n">
        <f aca="false">VLOOKUP(B78,[9]Staff!B$7:H$245,7,0)</f>
        <v>18690</v>
      </c>
      <c r="H78" s="18" t="n">
        <f aca="false">VLOOKUP(B78,[9]Staff!B$7:P$245,15,0)</f>
        <v>18690</v>
      </c>
      <c r="I78" s="21" t="str">
        <f aca="false">VLOOKUP(B78,[2]sales!$B$2:$G$183,6,0)</f>
        <v>Tamilnadu</v>
      </c>
      <c r="J78" s="22" t="s">
        <v>39</v>
      </c>
      <c r="K78" s="23" t="s">
        <v>10</v>
      </c>
      <c r="L78" s="24" t="n">
        <f aca="false">IF(H78&gt;23335,0,(H78*90%*4.75%))</f>
        <v>798.9975</v>
      </c>
      <c r="M78" s="24" t="n">
        <f aca="false">IF(H78*60%*12%&gt;1800,1974,(H78*60%*13.16%))</f>
        <v>1475.7624</v>
      </c>
      <c r="N78" s="25" t="n">
        <f aca="false">H78+L78+M78</f>
        <v>20964.7599</v>
      </c>
    </row>
    <row r="79" customFormat="false" ht="17.25" hidden="false" customHeight="true" outlineLevel="0" collapsed="false">
      <c r="A79" s="19" t="n">
        <v>78</v>
      </c>
      <c r="B79" s="19" t="n">
        <v>3092</v>
      </c>
      <c r="C79" s="26" t="s">
        <v>236</v>
      </c>
      <c r="D79" s="20" t="str">
        <f aca="false">VLOOKUP(B79,[2]sales!$B$2:$D$183,3,0)</f>
        <v>Sr. Territory Sales Executive</v>
      </c>
      <c r="E79" s="18" t="s">
        <v>237</v>
      </c>
      <c r="F79" s="18" t="s">
        <v>79</v>
      </c>
      <c r="G79" s="18" t="n">
        <f aca="false">VLOOKUP(B79,[9]Staff!B$7:H$245,7,0)</f>
        <v>25580</v>
      </c>
      <c r="H79" s="18" t="n">
        <f aca="false">VLOOKUP(B79,[9]Staff!B$7:P$245,15,0)</f>
        <v>25580</v>
      </c>
      <c r="I79" s="21" t="str">
        <f aca="false">VLOOKUP(B79,[2]sales!$B$2:$G$183,6,0)</f>
        <v>Tamilnadu</v>
      </c>
      <c r="J79" s="22" t="s">
        <v>39</v>
      </c>
      <c r="K79" s="23" t="s">
        <v>10</v>
      </c>
      <c r="L79" s="24" t="n">
        <f aca="false">IF(H79&gt;23335,0,(H79*90%*4.75%))</f>
        <v>0</v>
      </c>
      <c r="M79" s="24" t="n">
        <f aca="false">IF(H79*60%*12%&gt;1800,1974,(H79*60%*13.16%))</f>
        <v>1974</v>
      </c>
      <c r="N79" s="25" t="n">
        <f aca="false">H79+L79+M79</f>
        <v>27554</v>
      </c>
    </row>
    <row r="80" customFormat="false" ht="17.25" hidden="false" customHeight="true" outlineLevel="0" collapsed="false">
      <c r="A80" s="18" t="n">
        <v>79</v>
      </c>
      <c r="B80" s="19" t="n">
        <v>3114</v>
      </c>
      <c r="C80" s="20" t="s">
        <v>238</v>
      </c>
      <c r="D80" s="20" t="str">
        <f aca="false">VLOOKUP(B80,[2]sales!$B$2:$D$183,3,0)</f>
        <v>Territory Sales Executive</v>
      </c>
      <c r="E80" s="18" t="s">
        <v>239</v>
      </c>
      <c r="F80" s="18" t="s">
        <v>67</v>
      </c>
      <c r="G80" s="18" t="n">
        <f aca="false">VLOOKUP(B80,[9]Staff!B$7:H$245,7,0)</f>
        <v>14000</v>
      </c>
      <c r="H80" s="18" t="n">
        <f aca="false">VLOOKUP(B80,[9]Staff!B$7:P$245,15,0)</f>
        <v>14000</v>
      </c>
      <c r="I80" s="21" t="str">
        <f aca="false">VLOOKUP(B80,[2]sales!$B$2:$G$183,6,0)</f>
        <v>Bakery South</v>
      </c>
      <c r="J80" s="22" t="s">
        <v>126</v>
      </c>
      <c r="K80" s="23" t="s">
        <v>10</v>
      </c>
      <c r="L80" s="24" t="n">
        <f aca="false">IF(H80&gt;23335,0,(H80*90%*4.75%))</f>
        <v>598.5</v>
      </c>
      <c r="M80" s="24" t="n">
        <f aca="false">IF(H80*60%*12%&gt;1800,1974,(H80*60%*13.16%))</f>
        <v>1105.44</v>
      </c>
      <c r="N80" s="25" t="n">
        <f aca="false">H80+L80+M80</f>
        <v>15703.94</v>
      </c>
    </row>
    <row r="81" customFormat="false" ht="31.5" hidden="false" customHeight="true" outlineLevel="0" collapsed="false">
      <c r="A81" s="19" t="n">
        <v>80</v>
      </c>
      <c r="B81" s="19" t="n">
        <v>3189</v>
      </c>
      <c r="C81" s="20" t="s">
        <v>240</v>
      </c>
      <c r="D81" s="20" t="s">
        <v>135</v>
      </c>
      <c r="E81" s="18" t="s">
        <v>241</v>
      </c>
      <c r="F81" s="18" t="s">
        <v>109</v>
      </c>
      <c r="G81" s="18" t="n">
        <f aca="false">VLOOKUP(B81,'[6]staff klmsy (2)'!$B$7:I$84,8,0)</f>
        <v>21870</v>
      </c>
      <c r="H81" s="18" t="n">
        <f aca="false">VLOOKUP(B81,'[6]staff klmsy (2)'!B$7:R$84,17,0)</f>
        <v>21870</v>
      </c>
      <c r="I81" s="21" t="s">
        <v>242</v>
      </c>
      <c r="J81" s="22" t="s">
        <v>168</v>
      </c>
      <c r="K81" s="23" t="s">
        <v>8</v>
      </c>
      <c r="L81" s="24" t="n">
        <f aca="false">IF(H81&gt;23335,0,(H81*90%*4.75%))</f>
        <v>934.9425</v>
      </c>
      <c r="M81" s="24" t="n">
        <f aca="false">IF(H81*60%*12%&gt;1800,1974,(H81*60%*13.16%))</f>
        <v>1726.8552</v>
      </c>
      <c r="N81" s="25" t="n">
        <f aca="false">H81+L81+M81</f>
        <v>24531.7977</v>
      </c>
    </row>
    <row r="82" customFormat="false" ht="31.5" hidden="false" customHeight="true" outlineLevel="0" collapsed="false">
      <c r="A82" s="18" t="n">
        <v>81</v>
      </c>
      <c r="B82" s="19" t="n">
        <v>3190</v>
      </c>
      <c r="C82" s="20" t="s">
        <v>243</v>
      </c>
      <c r="D82" s="20" t="s">
        <v>135</v>
      </c>
      <c r="E82" s="18" t="s">
        <v>244</v>
      </c>
      <c r="F82" s="18" t="s">
        <v>109</v>
      </c>
      <c r="G82" s="18" t="n">
        <f aca="false">VLOOKUP(B82,'[6]staff klmsy (2)'!$B$7:I$84,8,0)</f>
        <v>21150</v>
      </c>
      <c r="H82" s="18" t="n">
        <f aca="false">VLOOKUP(B82,'[6]staff klmsy (2)'!B$7:R$84,17,0)</f>
        <v>21150</v>
      </c>
      <c r="I82" s="21" t="s">
        <v>242</v>
      </c>
      <c r="J82" s="22" t="s">
        <v>28</v>
      </c>
      <c r="K82" s="23" t="s">
        <v>8</v>
      </c>
      <c r="L82" s="24" t="n">
        <f aca="false">IF(H82&gt;23335,0,(H82*90%*4.75%))</f>
        <v>904.1625</v>
      </c>
      <c r="M82" s="24" t="n">
        <f aca="false">IF(H82*60%*12%&gt;1800,1974,(H82*60%*13.16%))</f>
        <v>1670.004</v>
      </c>
      <c r="N82" s="25" t="n">
        <f aca="false">H82+L82+M82</f>
        <v>23724.1665</v>
      </c>
    </row>
    <row r="83" customFormat="false" ht="31.5" hidden="false" customHeight="true" outlineLevel="0" collapsed="false">
      <c r="A83" s="19" t="n">
        <v>82</v>
      </c>
      <c r="B83" s="19" t="n">
        <v>3191</v>
      </c>
      <c r="C83" s="20" t="s">
        <v>245</v>
      </c>
      <c r="D83" s="20" t="str">
        <f aca="false">VLOOKUP(B83,[2]sales!$B$2:$D$183,3,0)</f>
        <v>Territory Sales Executive</v>
      </c>
      <c r="E83" s="18" t="s">
        <v>246</v>
      </c>
      <c r="F83" s="18" t="s">
        <v>79</v>
      </c>
      <c r="G83" s="18" t="n">
        <f aca="false">VLOOKUP(B83,'[6]staff klmsy (2)'!$B$7:I$84,8,0)</f>
        <v>22430</v>
      </c>
      <c r="H83" s="18" t="n">
        <f aca="false">VLOOKUP(B83,'[6]staff klmsy (2)'!B$7:R$84,17,0)</f>
        <v>22430</v>
      </c>
      <c r="I83" s="21" t="str">
        <f aca="false">VLOOKUP(B83,[2]sales!$B$2:$G$183,6,0)</f>
        <v>Bakery South</v>
      </c>
      <c r="J83" s="22" t="s">
        <v>126</v>
      </c>
      <c r="K83" s="23" t="s">
        <v>8</v>
      </c>
      <c r="L83" s="24" t="n">
        <f aca="false">IF(H83&gt;23335,0,(H83*90%*4.75%))</f>
        <v>958.8825</v>
      </c>
      <c r="M83" s="24" t="n">
        <f aca="false">IF(H83*60%*12%&gt;1800,1974,(H83*60%*13.16%))</f>
        <v>1771.0728</v>
      </c>
      <c r="N83" s="25" t="n">
        <f aca="false">H83+L83+M83</f>
        <v>25159.9553</v>
      </c>
    </row>
    <row r="84" customFormat="false" ht="17.25" hidden="false" customHeight="true" outlineLevel="0" collapsed="false">
      <c r="A84" s="18" t="n">
        <v>83</v>
      </c>
      <c r="B84" s="19" t="n">
        <v>3205</v>
      </c>
      <c r="C84" s="20" t="s">
        <v>247</v>
      </c>
      <c r="D84" s="20" t="str">
        <f aca="false">VLOOKUP(B84,[2]sales!$B$2:$D$183,3,0)</f>
        <v>Territory Sales Executive</v>
      </c>
      <c r="E84" s="18" t="s">
        <v>248</v>
      </c>
      <c r="F84" s="18" t="s">
        <v>67</v>
      </c>
      <c r="G84" s="18" t="n">
        <f aca="false">VLOOKUP(B84,[9]Staff!B$7:H$245,7,0)</f>
        <v>14890</v>
      </c>
      <c r="H84" s="18" t="n">
        <f aca="false">VLOOKUP(B84,[9]Staff!B$7:P$245,15,0)</f>
        <v>14890</v>
      </c>
      <c r="I84" s="21" t="str">
        <f aca="false">VLOOKUP(B84,[2]sales!$B$2:$G$183,6,0)</f>
        <v>Bulk</v>
      </c>
      <c r="J84" s="22" t="s">
        <v>27</v>
      </c>
      <c r="K84" s="23" t="s">
        <v>10</v>
      </c>
      <c r="L84" s="24" t="n">
        <f aca="false">IF(H84&gt;23335,0,(H84*90%*4.75%))</f>
        <v>636.5475</v>
      </c>
      <c r="M84" s="24" t="n">
        <f aca="false">IF(H84*60%*12%&gt;1800,1974,(H84*60%*13.16%))</f>
        <v>1175.7144</v>
      </c>
      <c r="N84" s="25" t="n">
        <f aca="false">H84+L84+M84</f>
        <v>16702.2619</v>
      </c>
    </row>
    <row r="85" customFormat="false" ht="17.25" hidden="false" customHeight="true" outlineLevel="0" collapsed="false">
      <c r="A85" s="19" t="n">
        <v>84</v>
      </c>
      <c r="B85" s="19" t="n">
        <v>3221</v>
      </c>
      <c r="C85" s="20" t="s">
        <v>249</v>
      </c>
      <c r="D85" s="20" t="str">
        <f aca="false">VLOOKUP(B85,[2]sales!$B$2:$D$183,3,0)</f>
        <v>Sr. Territory Sales Executive</v>
      </c>
      <c r="E85" s="18" t="s">
        <v>250</v>
      </c>
      <c r="F85" s="18" t="s">
        <v>79</v>
      </c>
      <c r="G85" s="18" t="n">
        <f aca="false">VLOOKUP(B85,[9]Staff!B$7:H$245,7,0)</f>
        <v>18060</v>
      </c>
      <c r="H85" s="18" t="n">
        <f aca="false">VLOOKUP(B85,[9]Staff!B$7:P$245,15,0)</f>
        <v>18060</v>
      </c>
      <c r="I85" s="21" t="str">
        <f aca="false">VLOOKUP(B85,[2]sales!$B$2:$G$183,6,0)</f>
        <v>Tamilnadu</v>
      </c>
      <c r="J85" s="22" t="s">
        <v>39</v>
      </c>
      <c r="K85" s="23" t="s">
        <v>10</v>
      </c>
      <c r="L85" s="24" t="n">
        <f aca="false">IF(H85&gt;23335,0,(H85*90%*4.75%))</f>
        <v>772.065</v>
      </c>
      <c r="M85" s="24" t="n">
        <f aca="false">IF(H85*60%*12%&gt;1800,1974,(H85*60%*13.16%))</f>
        <v>1426.0176</v>
      </c>
      <c r="N85" s="25" t="n">
        <f aca="false">H85+L85+M85</f>
        <v>20258.0826</v>
      </c>
    </row>
    <row r="86" customFormat="false" ht="17.25" hidden="false" customHeight="true" outlineLevel="0" collapsed="false">
      <c r="A86" s="18" t="n">
        <v>85</v>
      </c>
      <c r="B86" s="19" t="n">
        <v>3239</v>
      </c>
      <c r="C86" s="20" t="s">
        <v>251</v>
      </c>
      <c r="D86" s="20" t="str">
        <f aca="false">VLOOKUP(B86,[2]sales!$B$2:$D$183,3,0)</f>
        <v>Sr. Territory Sales Executive</v>
      </c>
      <c r="E86" s="18" t="s">
        <v>252</v>
      </c>
      <c r="F86" s="18" t="s">
        <v>79</v>
      </c>
      <c r="G86" s="18" t="n">
        <f aca="false">VLOOKUP(B86,'[3]april (2)'!B$8:H$132,7,0)</f>
        <v>21390</v>
      </c>
      <c r="H86" s="18" t="n">
        <f aca="false">VLOOKUP(B86,'[3]april (2)'!B$8:N$132,13,0)</f>
        <v>17825</v>
      </c>
      <c r="I86" s="21" t="str">
        <f aca="false">VLOOKUP(B86,[2]sales!$B$2:$G$183,6,0)</f>
        <v>CPD South</v>
      </c>
      <c r="J86" s="22" t="s">
        <v>76</v>
      </c>
      <c r="K86" s="23" t="s">
        <v>3</v>
      </c>
      <c r="L86" s="24" t="n">
        <f aca="false">IF(H86&gt;23335,0,(H86*90%*4.75%))</f>
        <v>762.01875</v>
      </c>
      <c r="M86" s="24" t="n">
        <f aca="false">IF(H86*60%*12%&gt;1800,1974,(H86*60%*13.16%))</f>
        <v>1407.462</v>
      </c>
      <c r="N86" s="25" t="n">
        <f aca="false">H86+L86+M86</f>
        <v>19994.48075</v>
      </c>
    </row>
    <row r="87" customFormat="false" ht="17.25" hidden="false" customHeight="true" outlineLevel="0" collapsed="false">
      <c r="A87" s="19" t="n">
        <v>86</v>
      </c>
      <c r="B87" s="19" t="n">
        <v>3244</v>
      </c>
      <c r="C87" s="20" t="s">
        <v>253</v>
      </c>
      <c r="D87" s="20" t="s">
        <v>254</v>
      </c>
      <c r="E87" s="18" t="s">
        <v>255</v>
      </c>
      <c r="F87" s="18" t="s">
        <v>67</v>
      </c>
      <c r="G87" s="18" t="n">
        <f aca="false">VLOOKUP(B87,'[3]april (2)'!B$8:H$132,7,0)</f>
        <v>20930</v>
      </c>
      <c r="H87" s="18" t="n">
        <f aca="false">VLOOKUP(B87,'[3]april (2)'!B$8:N$132,13,0)</f>
        <v>20930</v>
      </c>
      <c r="I87" s="22" t="s">
        <v>76</v>
      </c>
      <c r="J87" s="22" t="s">
        <v>76</v>
      </c>
      <c r="K87" s="23" t="s">
        <v>3</v>
      </c>
      <c r="L87" s="24" t="n">
        <f aca="false">IF(H87&gt;23335,0,(H87*90%*4.75%))</f>
        <v>894.7575</v>
      </c>
      <c r="M87" s="24" t="n">
        <f aca="false">IF(H87*60%*12%&gt;1800,1974,(H87*60%*13.16%))</f>
        <v>1652.6328</v>
      </c>
      <c r="N87" s="25" t="n">
        <f aca="false">H87+L87+M87</f>
        <v>23477.3903</v>
      </c>
    </row>
    <row r="88" customFormat="false" ht="17.25" hidden="false" customHeight="true" outlineLevel="0" collapsed="false">
      <c r="A88" s="18" t="n">
        <v>87</v>
      </c>
      <c r="B88" s="18" t="n">
        <v>3245</v>
      </c>
      <c r="C88" s="20" t="s">
        <v>256</v>
      </c>
      <c r="D88" s="20" t="s">
        <v>135</v>
      </c>
      <c r="E88" s="18" t="s">
        <v>257</v>
      </c>
      <c r="F88" s="18" t="s">
        <v>67</v>
      </c>
      <c r="G88" s="18" t="n">
        <f aca="false">VLOOKUP(B88,'[3]april (2)'!B$8:H$132,7,0)</f>
        <v>18510</v>
      </c>
      <c r="H88" s="18" t="n">
        <f aca="false">VLOOKUP(B88,'[3]april (2)'!B$8:N$132,13,0)</f>
        <v>18510</v>
      </c>
      <c r="I88" s="22" t="s">
        <v>76</v>
      </c>
      <c r="J88" s="22" t="s">
        <v>76</v>
      </c>
      <c r="K88" s="23" t="s">
        <v>3</v>
      </c>
      <c r="L88" s="24" t="n">
        <f aca="false">IF(H88&gt;23335,0,(H88*90%*4.75%))</f>
        <v>791.3025</v>
      </c>
      <c r="M88" s="24" t="n">
        <f aca="false">IF(H88*60%*12%&gt;1800,1974,(H88*60%*13.16%))</f>
        <v>1461.5496</v>
      </c>
      <c r="N88" s="25" t="n">
        <f aca="false">H88+L88+M88</f>
        <v>20762.8521</v>
      </c>
    </row>
    <row r="89" customFormat="false" ht="17.25" hidden="false" customHeight="true" outlineLevel="0" collapsed="false">
      <c r="A89" s="19" t="n">
        <v>88</v>
      </c>
      <c r="B89" s="19" t="n">
        <v>3249</v>
      </c>
      <c r="C89" s="33" t="s">
        <v>258</v>
      </c>
      <c r="D89" s="20" t="s">
        <v>254</v>
      </c>
      <c r="E89" s="18" t="s">
        <v>259</v>
      </c>
      <c r="F89" s="18" t="s">
        <v>67</v>
      </c>
      <c r="G89" s="18" t="n">
        <f aca="false">VLOOKUP(B89,'[3]april (2)'!B$8:H$132,7,0)</f>
        <v>17540</v>
      </c>
      <c r="H89" s="18" t="n">
        <f aca="false">VLOOKUP(B89,'[3]april (2)'!B$8:N$132,13,0)</f>
        <v>17540</v>
      </c>
      <c r="I89" s="22" t="s">
        <v>76</v>
      </c>
      <c r="J89" s="22" t="s">
        <v>76</v>
      </c>
      <c r="K89" s="23" t="s">
        <v>3</v>
      </c>
      <c r="L89" s="24" t="n">
        <f aca="false">IF(H89&gt;23335,0,(H89*90%*4.75%))</f>
        <v>749.835</v>
      </c>
      <c r="M89" s="24" t="n">
        <f aca="false">IF(H89*60%*12%&gt;1800,1974,(H89*60%*13.16%))</f>
        <v>1384.9584</v>
      </c>
      <c r="N89" s="25" t="n">
        <f aca="false">H89+L89+M89</f>
        <v>19674.7934</v>
      </c>
    </row>
    <row r="90" customFormat="false" ht="17.25" hidden="false" customHeight="true" outlineLevel="0" collapsed="false">
      <c r="A90" s="18" t="n">
        <v>89</v>
      </c>
      <c r="B90" s="19" t="n">
        <v>3252</v>
      </c>
      <c r="C90" s="20" t="s">
        <v>260</v>
      </c>
      <c r="D90" s="20" t="s">
        <v>254</v>
      </c>
      <c r="E90" s="18" t="s">
        <v>261</v>
      </c>
      <c r="F90" s="18" t="s">
        <v>67</v>
      </c>
      <c r="G90" s="18" t="n">
        <f aca="false">VLOOKUP(B90,'[3]april (2)'!B$8:H$132,7,0)</f>
        <v>17540</v>
      </c>
      <c r="H90" s="18" t="n">
        <f aca="false">VLOOKUP(B90,'[3]april (2)'!B$8:N$132,13,0)</f>
        <v>17540</v>
      </c>
      <c r="I90" s="22" t="s">
        <v>76</v>
      </c>
      <c r="J90" s="22" t="s">
        <v>76</v>
      </c>
      <c r="K90" s="23" t="s">
        <v>3</v>
      </c>
      <c r="L90" s="24" t="n">
        <f aca="false">IF(H90&gt;23335,0,(H90*90%*4.75%))</f>
        <v>749.835</v>
      </c>
      <c r="M90" s="24" t="n">
        <f aca="false">IF(H90*60%*12%&gt;1800,1974,(H90*60%*13.16%))</f>
        <v>1384.9584</v>
      </c>
      <c r="N90" s="25" t="n">
        <f aca="false">H90+L90+M90</f>
        <v>19674.7934</v>
      </c>
    </row>
    <row r="91" customFormat="false" ht="17.25" hidden="false" customHeight="true" outlineLevel="0" collapsed="false">
      <c r="A91" s="19" t="n">
        <v>90</v>
      </c>
      <c r="B91" s="19" t="n">
        <v>3259</v>
      </c>
      <c r="C91" s="20" t="s">
        <v>262</v>
      </c>
      <c r="D91" s="20" t="s">
        <v>254</v>
      </c>
      <c r="E91" s="18" t="s">
        <v>263</v>
      </c>
      <c r="F91" s="18" t="s">
        <v>67</v>
      </c>
      <c r="G91" s="18" t="n">
        <f aca="false">VLOOKUP(B91,'[3]april (2)'!B$8:H$132,7,0)</f>
        <v>14820</v>
      </c>
      <c r="H91" s="18" t="n">
        <f aca="false">VLOOKUP(B91,'[3]april (2)'!B$8:N$132,13,0)</f>
        <v>14820</v>
      </c>
      <c r="I91" s="22" t="s">
        <v>76</v>
      </c>
      <c r="J91" s="22" t="s">
        <v>76</v>
      </c>
      <c r="K91" s="23" t="s">
        <v>3</v>
      </c>
      <c r="L91" s="24" t="n">
        <f aca="false">IF(H91&gt;23335,0,(H91*90%*4.75%))</f>
        <v>633.555</v>
      </c>
      <c r="M91" s="24" t="n">
        <f aca="false">IF(H91*60%*12%&gt;1800,1974,(H91*60%*13.16%))</f>
        <v>1170.1872</v>
      </c>
      <c r="N91" s="25" t="n">
        <f aca="false">H91+L91+M91</f>
        <v>16623.7422</v>
      </c>
    </row>
    <row r="92" customFormat="false" ht="17.25" hidden="false" customHeight="true" outlineLevel="0" collapsed="false">
      <c r="A92" s="18" t="n">
        <v>91</v>
      </c>
      <c r="B92" s="19" t="n">
        <v>3265</v>
      </c>
      <c r="C92" s="20" t="s">
        <v>264</v>
      </c>
      <c r="D92" s="20" t="str">
        <f aca="false">VLOOKUP(B92,[2]sales!$B$2:$D$183,3,0)</f>
        <v>Territory Sales Executive</v>
      </c>
      <c r="E92" s="18" t="s">
        <v>265</v>
      </c>
      <c r="F92" s="18" t="s">
        <v>67</v>
      </c>
      <c r="G92" s="18" t="n">
        <f aca="false">VLOOKUP(B92,'[3]april (2)'!B$8:H$132,7,0)</f>
        <v>16760</v>
      </c>
      <c r="H92" s="18" t="n">
        <f aca="false">VLOOKUP(B92,'[3]april (2)'!B$8:N$132,13,0)</f>
        <v>16760</v>
      </c>
      <c r="I92" s="21" t="str">
        <f aca="false">VLOOKUP(B92,[2]sales!$B$2:$G$183,6,0)</f>
        <v>Bulk</v>
      </c>
      <c r="J92" s="22" t="s">
        <v>76</v>
      </c>
      <c r="K92" s="23" t="s">
        <v>3</v>
      </c>
      <c r="L92" s="24" t="n">
        <f aca="false">IF(H92&gt;23335,0,(H92*90%*4.75%))</f>
        <v>716.49</v>
      </c>
      <c r="M92" s="24" t="n">
        <f aca="false">IF(H92*60%*12%&gt;1800,1974,(H92*60%*13.16%))</f>
        <v>1323.3696</v>
      </c>
      <c r="N92" s="25" t="n">
        <f aca="false">H92+L92+M92</f>
        <v>18799.8596</v>
      </c>
    </row>
    <row r="93" customFormat="false" ht="17.25" hidden="false" customHeight="true" outlineLevel="0" collapsed="false">
      <c r="A93" s="19" t="n">
        <v>92</v>
      </c>
      <c r="B93" s="19" t="n">
        <v>3269</v>
      </c>
      <c r="C93" s="20" t="s">
        <v>266</v>
      </c>
      <c r="D93" s="20" t="str">
        <f aca="false">VLOOKUP(B93,[2]sales!$B$2:$D$183,3,0)</f>
        <v>Territory Sales Manager </v>
      </c>
      <c r="E93" s="18" t="s">
        <v>267</v>
      </c>
      <c r="F93" s="18" t="s">
        <v>58</v>
      </c>
      <c r="G93" s="18" t="n">
        <f aca="false">VLOOKUP(B93,'[3]april (2)'!B$8:H$132,7,0)</f>
        <v>20000</v>
      </c>
      <c r="H93" s="18" t="n">
        <f aca="false">VLOOKUP(B93,'[3]april (2)'!B$8:N$132,13,0)</f>
        <v>20000</v>
      </c>
      <c r="I93" s="21" t="str">
        <f aca="false">VLOOKUP(B93,[2]sales!$B$2:$G$183,6,0)</f>
        <v>Modern Trade</v>
      </c>
      <c r="J93" s="22" t="s">
        <v>133</v>
      </c>
      <c r="K93" s="23" t="s">
        <v>3</v>
      </c>
      <c r="L93" s="24" t="n">
        <f aca="false">IF(H93&gt;23335,0,(H93*90%*4.75%))</f>
        <v>855</v>
      </c>
      <c r="M93" s="24" t="n">
        <f aca="false">IF(H93*60%*12%&gt;1800,1974,(H93*60%*13.16%))</f>
        <v>1579.2</v>
      </c>
      <c r="N93" s="25" t="n">
        <f aca="false">H93+L93+M93</f>
        <v>22434.2</v>
      </c>
    </row>
    <row r="94" customFormat="false" ht="17.25" hidden="false" customHeight="true" outlineLevel="0" collapsed="false">
      <c r="A94" s="18" t="n">
        <v>93</v>
      </c>
      <c r="B94" s="19" t="n">
        <v>3287</v>
      </c>
      <c r="C94" s="20" t="s">
        <v>268</v>
      </c>
      <c r="D94" s="20" t="str">
        <f aca="false">VLOOKUP(B94,[2]sales!$B$2:$D$183,3,0)</f>
        <v>Territory Sales Executive</v>
      </c>
      <c r="E94" s="18" t="s">
        <v>269</v>
      </c>
      <c r="F94" s="18" t="s">
        <v>67</v>
      </c>
      <c r="G94" s="18" t="n">
        <f aca="false">VLOOKUP(B94,'[3]april (2)'!B$8:H$132,7,0)</f>
        <v>16590</v>
      </c>
      <c r="H94" s="18" t="n">
        <f aca="false">VLOOKUP(B94,'[3]april (2)'!B$8:N$132,13,0)</f>
        <v>16590</v>
      </c>
      <c r="I94" s="21" t="str">
        <f aca="false">VLOOKUP(B94,[2]sales!$B$2:$G$183,6,0)</f>
        <v>institution Sales</v>
      </c>
      <c r="J94" s="22" t="s">
        <v>110</v>
      </c>
      <c r="K94" s="23" t="s">
        <v>3</v>
      </c>
      <c r="L94" s="24" t="n">
        <f aca="false">IF(H94&gt;23335,0,(H94*90%*4.75%))</f>
        <v>709.2225</v>
      </c>
      <c r="M94" s="24" t="n">
        <f aca="false">IF(H94*60%*12%&gt;1800,1974,(H94*60%*13.16%))</f>
        <v>1309.9464</v>
      </c>
      <c r="N94" s="25" t="n">
        <f aca="false">H94+L94+M94</f>
        <v>18609.1689</v>
      </c>
    </row>
    <row r="95" customFormat="false" ht="17.25" hidden="false" customHeight="true" outlineLevel="0" collapsed="false">
      <c r="A95" s="19" t="n">
        <v>94</v>
      </c>
      <c r="B95" s="19" t="n">
        <v>3299</v>
      </c>
      <c r="C95" s="20" t="s">
        <v>270</v>
      </c>
      <c r="D95" s="20" t="s">
        <v>271</v>
      </c>
      <c r="E95" s="18" t="s">
        <v>272</v>
      </c>
      <c r="F95" s="18" t="s">
        <v>67</v>
      </c>
      <c r="G95" s="18" t="n">
        <f aca="false">VLOOKUP(B95,[9]Staff!B$7:H$245,7,0)</f>
        <v>13920</v>
      </c>
      <c r="H95" s="18" t="n">
        <f aca="false">VLOOKUP(B95,[9]Staff!B$7:P$245,15,0)</f>
        <v>13920</v>
      </c>
      <c r="I95" s="22" t="s">
        <v>76</v>
      </c>
      <c r="J95" s="22" t="s">
        <v>76</v>
      </c>
      <c r="K95" s="23" t="s">
        <v>10</v>
      </c>
      <c r="L95" s="24" t="n">
        <f aca="false">IF(H95&gt;23335,0,(H95*90%*4.75%))</f>
        <v>595.08</v>
      </c>
      <c r="M95" s="24" t="n">
        <f aca="false">IF(H95*60%*12%&gt;1800,1974,(H95*60%*13.16%))</f>
        <v>1099.1232</v>
      </c>
      <c r="N95" s="25" t="n">
        <f aca="false">H95+L95+M95</f>
        <v>15614.2032</v>
      </c>
    </row>
    <row r="96" customFormat="false" ht="17.25" hidden="false" customHeight="true" outlineLevel="0" collapsed="false">
      <c r="A96" s="18" t="n">
        <v>95</v>
      </c>
      <c r="B96" s="19" t="n">
        <v>3321</v>
      </c>
      <c r="C96" s="20" t="s">
        <v>273</v>
      </c>
      <c r="D96" s="20" t="str">
        <f aca="false">VLOOKUP(B96,[2]sales!$B$2:$D$183,3,0)</f>
        <v>Territory Sales Manager </v>
      </c>
      <c r="E96" s="18" t="s">
        <v>274</v>
      </c>
      <c r="F96" s="18" t="s">
        <v>58</v>
      </c>
      <c r="G96" s="18" t="n">
        <f aca="false">VLOOKUP(B96,'[3]april (2)'!B$8:H$132,7,0)</f>
        <v>40880</v>
      </c>
      <c r="H96" s="18" t="n">
        <f aca="false">VLOOKUP(B96,'[3]april (2)'!B$8:N$132,13,0)</f>
        <v>40880</v>
      </c>
      <c r="I96" s="21" t="str">
        <f aca="false">VLOOKUP(B96,[2]sales!$B$2:$G$183,6,0)</f>
        <v>CPD North</v>
      </c>
      <c r="J96" s="22" t="s">
        <v>76</v>
      </c>
      <c r="K96" s="23" t="s">
        <v>3</v>
      </c>
      <c r="L96" s="24" t="n">
        <f aca="false">IF(H96&gt;23335,0,(H96*90%*4.75%))</f>
        <v>0</v>
      </c>
      <c r="M96" s="24" t="n">
        <f aca="false">IF(H96*60%*12%&gt;1800,1974,(H96*60%*13.16%))</f>
        <v>1974</v>
      </c>
      <c r="N96" s="25" t="n">
        <f aca="false">H96+L96+M96</f>
        <v>42854</v>
      </c>
    </row>
    <row r="97" customFormat="false" ht="17.25" hidden="false" customHeight="true" outlineLevel="0" collapsed="false">
      <c r="A97" s="19" t="n">
        <v>96</v>
      </c>
      <c r="B97" s="19" t="n">
        <v>3329</v>
      </c>
      <c r="C97" s="34" t="s">
        <v>275</v>
      </c>
      <c r="D97" s="20" t="str">
        <f aca="false">VLOOKUP(B97,[2]sales!$B$2:$D$183,3,0)</f>
        <v>Territory Sales Executive</v>
      </c>
      <c r="E97" s="18" t="s">
        <v>276</v>
      </c>
      <c r="F97" s="18" t="s">
        <v>67</v>
      </c>
      <c r="G97" s="18" t="n">
        <f aca="false">VLOOKUP(B97,[9]Staff!B$7:H$245,7,0)</f>
        <v>18830</v>
      </c>
      <c r="H97" s="18" t="n">
        <f aca="false">VLOOKUP(B97,[9]Staff!B$7:P$245,15,0)</f>
        <v>18830</v>
      </c>
      <c r="I97" s="21" t="str">
        <f aca="false">VLOOKUP(B97,[2]sales!$B$2:$G$183,6,0)</f>
        <v>Tamilnadu</v>
      </c>
      <c r="J97" s="22" t="s">
        <v>39</v>
      </c>
      <c r="K97" s="23" t="s">
        <v>10</v>
      </c>
      <c r="L97" s="24" t="n">
        <f aca="false">IF(H97&gt;23335,0,(H97*90%*4.75%))</f>
        <v>804.9825</v>
      </c>
      <c r="M97" s="24" t="n">
        <f aca="false">IF(H97*60%*12%&gt;1800,1974,(H97*60%*13.16%))</f>
        <v>1486.8168</v>
      </c>
      <c r="N97" s="25" t="n">
        <f aca="false">H97+L97+M97</f>
        <v>21121.7993</v>
      </c>
    </row>
    <row r="98" customFormat="false" ht="17.25" hidden="false" customHeight="true" outlineLevel="0" collapsed="false">
      <c r="A98" s="18" t="n">
        <v>97</v>
      </c>
      <c r="B98" s="19" t="n">
        <v>3330</v>
      </c>
      <c r="C98" s="27" t="s">
        <v>277</v>
      </c>
      <c r="D98" s="20" t="str">
        <f aca="false">VLOOKUP(B98,[2]sales!$B$2:$D$183,3,0)</f>
        <v>Territory Sales Manager </v>
      </c>
      <c r="E98" s="18" t="s">
        <v>278</v>
      </c>
      <c r="F98" s="18" t="s">
        <v>58</v>
      </c>
      <c r="G98" s="18" t="n">
        <f aca="false">VLOOKUP(B98,[9]Staff!B$7:H$245,7,0)</f>
        <v>25750</v>
      </c>
      <c r="H98" s="18" t="n">
        <f aca="false">VLOOKUP(B98,[9]Staff!B$7:P$245,15,0)</f>
        <v>25750</v>
      </c>
      <c r="I98" s="21" t="str">
        <f aca="false">VLOOKUP(B98,[2]sales!$B$2:$G$183,6,0)</f>
        <v>CPD South</v>
      </c>
      <c r="J98" s="22" t="s">
        <v>76</v>
      </c>
      <c r="K98" s="23" t="s">
        <v>10</v>
      </c>
      <c r="L98" s="24" t="n">
        <f aca="false">IF(H98&gt;23335,0,(H98*90%*4.75%))</f>
        <v>0</v>
      </c>
      <c r="M98" s="24" t="n">
        <f aca="false">IF(H98*60%*12%&gt;1800,1974,(H98*60%*13.16%))</f>
        <v>1974</v>
      </c>
      <c r="N98" s="25" t="n">
        <f aca="false">H98+L98+M98</f>
        <v>27724</v>
      </c>
    </row>
    <row r="99" customFormat="false" ht="17.25" hidden="false" customHeight="true" outlineLevel="0" collapsed="false">
      <c r="A99" s="19" t="n">
        <v>98</v>
      </c>
      <c r="B99" s="19" t="n">
        <v>3335</v>
      </c>
      <c r="C99" s="35" t="s">
        <v>279</v>
      </c>
      <c r="D99" s="20" t="str">
        <f aca="false">VLOOKUP(B99,[2]sales!$B$2:$D$183,3,0)</f>
        <v>Territory Sales Executive</v>
      </c>
      <c r="E99" s="18" t="s">
        <v>278</v>
      </c>
      <c r="F99" s="18" t="s">
        <v>67</v>
      </c>
      <c r="G99" s="18" t="n">
        <f aca="false">VLOOKUP(B99,[9]Staff!B$7:H$245,7,0)</f>
        <v>16980</v>
      </c>
      <c r="H99" s="18" t="n">
        <f aca="false">VLOOKUP(B99,[9]Staff!B$7:P$245,15,0)</f>
        <v>16980</v>
      </c>
      <c r="I99" s="21" t="str">
        <f aca="false">VLOOKUP(B99,[2]sales!$B$2:$G$183,6,0)</f>
        <v>Tamilnadu</v>
      </c>
      <c r="J99" s="22" t="s">
        <v>39</v>
      </c>
      <c r="K99" s="23" t="s">
        <v>10</v>
      </c>
      <c r="L99" s="24" t="n">
        <f aca="false">IF(H99&gt;23335,0,(H99*90%*4.75%))</f>
        <v>725.895</v>
      </c>
      <c r="M99" s="24" t="n">
        <f aca="false">IF(H99*60%*12%&gt;1800,1974,(H99*60%*13.16%))</f>
        <v>1340.7408</v>
      </c>
      <c r="N99" s="25" t="n">
        <f aca="false">H99+L99+M99</f>
        <v>19046.6358</v>
      </c>
    </row>
    <row r="100" customFormat="false" ht="17.25" hidden="false" customHeight="true" outlineLevel="0" collapsed="false">
      <c r="A100" s="18" t="n">
        <v>99</v>
      </c>
      <c r="B100" s="19" t="n">
        <v>3347</v>
      </c>
      <c r="C100" s="20" t="s">
        <v>280</v>
      </c>
      <c r="D100" s="20" t="str">
        <f aca="false">VLOOKUP(B100,[2]sales!$B$2:$D$183,3,0)</f>
        <v>Territory Sales Executive</v>
      </c>
      <c r="E100" s="18" t="s">
        <v>278</v>
      </c>
      <c r="F100" s="18" t="s">
        <v>67</v>
      </c>
      <c r="G100" s="18" t="n">
        <f aca="false">VLOOKUP(B100,[9]Staff!B$7:H$245,7,0)</f>
        <v>19280</v>
      </c>
      <c r="H100" s="18" t="n">
        <f aca="false">VLOOKUP(B100,[9]Staff!B$7:P$245,15,0)</f>
        <v>19280</v>
      </c>
      <c r="I100" s="21" t="str">
        <f aca="false">VLOOKUP(B100,[2]sales!$B$2:$G$183,6,0)</f>
        <v>Tamilnadu</v>
      </c>
      <c r="J100" s="22" t="s">
        <v>39</v>
      </c>
      <c r="K100" s="23" t="s">
        <v>10</v>
      </c>
      <c r="L100" s="24" t="n">
        <f aca="false">IF(H100&gt;23335,0,(H100*90%*4.75%))</f>
        <v>824.22</v>
      </c>
      <c r="M100" s="24" t="n">
        <f aca="false">IF(H100*60%*12%&gt;1800,1974,(H100*60%*13.16%))</f>
        <v>1522.3488</v>
      </c>
      <c r="N100" s="25" t="n">
        <f aca="false">H100+L100+M100</f>
        <v>21626.5688</v>
      </c>
    </row>
    <row r="101" customFormat="false" ht="17.25" hidden="false" customHeight="true" outlineLevel="0" collapsed="false">
      <c r="A101" s="19" t="n">
        <v>100</v>
      </c>
      <c r="B101" s="19" t="n">
        <v>3352</v>
      </c>
      <c r="C101" s="20" t="s">
        <v>281</v>
      </c>
      <c r="D101" s="20" t="s">
        <v>135</v>
      </c>
      <c r="E101" s="18" t="s">
        <v>218</v>
      </c>
      <c r="F101" s="18" t="s">
        <v>282</v>
      </c>
      <c r="G101" s="18" t="n">
        <f aca="false">VLOOKUP(B101,'[3]april (2)'!B$8:H$132,7,0)</f>
        <v>17340</v>
      </c>
      <c r="H101" s="18" t="n">
        <f aca="false">VLOOKUP(B101,'[3]april (2)'!B$8:N$132,13,0)</f>
        <v>17340</v>
      </c>
      <c r="I101" s="22" t="s">
        <v>76</v>
      </c>
      <c r="J101" s="22" t="s">
        <v>76</v>
      </c>
      <c r="K101" s="23" t="s">
        <v>3</v>
      </c>
      <c r="L101" s="24" t="n">
        <f aca="false">IF(H101&gt;23335,0,(H101*90%*4.75%))</f>
        <v>741.285</v>
      </c>
      <c r="M101" s="24" t="n">
        <f aca="false">IF(H101*60%*12%&gt;1800,1974,(H101*60%*13.16%))</f>
        <v>1369.1664</v>
      </c>
      <c r="N101" s="25" t="n">
        <f aca="false">H101+L101+M101</f>
        <v>19450.4514</v>
      </c>
    </row>
    <row r="102" customFormat="false" ht="17.25" hidden="false" customHeight="true" outlineLevel="0" collapsed="false">
      <c r="A102" s="18" t="n">
        <v>101</v>
      </c>
      <c r="B102" s="19" t="n">
        <v>3358</v>
      </c>
      <c r="C102" s="20" t="s">
        <v>283</v>
      </c>
      <c r="D102" s="20" t="s">
        <v>164</v>
      </c>
      <c r="E102" s="18" t="s">
        <v>218</v>
      </c>
      <c r="F102" s="18" t="s">
        <v>67</v>
      </c>
      <c r="G102" s="18" t="n">
        <f aca="false">VLOOKUP(B102,'[3]april (2)'!B$8:H$132,7,0)</f>
        <v>14840</v>
      </c>
      <c r="H102" s="18" t="n">
        <f aca="false">VLOOKUP(B102,'[3]april (2)'!B$8:N$132,13,0)</f>
        <v>14840</v>
      </c>
      <c r="I102" s="21" t="s">
        <v>76</v>
      </c>
      <c r="J102" s="22" t="s">
        <v>76</v>
      </c>
      <c r="K102" s="23" t="s">
        <v>3</v>
      </c>
      <c r="L102" s="24" t="n">
        <f aca="false">IF(H102&gt;23335,0,(H102*90%*4.75%))</f>
        <v>634.41</v>
      </c>
      <c r="M102" s="24" t="n">
        <f aca="false">IF(H102*60%*12%&gt;1800,1974,(H102*60%*13.16%))</f>
        <v>1171.7664</v>
      </c>
      <c r="N102" s="25" t="n">
        <f aca="false">H102+L102+M102</f>
        <v>16646.1764</v>
      </c>
    </row>
    <row r="103" customFormat="false" ht="17.25" hidden="false" customHeight="true" outlineLevel="0" collapsed="false">
      <c r="A103" s="19" t="n">
        <v>102</v>
      </c>
      <c r="B103" s="19" t="n">
        <v>3365</v>
      </c>
      <c r="C103" s="33" t="s">
        <v>284</v>
      </c>
      <c r="D103" s="20" t="str">
        <f aca="false">VLOOKUP(B103,[2]sales!$B$2:$D$183,3,0)</f>
        <v>Territory Sales Executive</v>
      </c>
      <c r="E103" s="18" t="s">
        <v>218</v>
      </c>
      <c r="F103" s="18" t="s">
        <v>67</v>
      </c>
      <c r="G103" s="18" t="n">
        <f aca="false">VLOOKUP(B103,[9]Staff!B$7:H$245,7,0)</f>
        <v>18780</v>
      </c>
      <c r="H103" s="18" t="n">
        <f aca="false">VLOOKUP(B103,[9]Staff!B$7:P$245,15,0)</f>
        <v>18780</v>
      </c>
      <c r="I103" s="21" t="str">
        <f aca="false">VLOOKUP(B103,[2]sales!$B$2:$G$183,6,0)</f>
        <v>Modern Trade</v>
      </c>
      <c r="J103" s="22" t="s">
        <v>133</v>
      </c>
      <c r="K103" s="23" t="s">
        <v>10</v>
      </c>
      <c r="L103" s="24" t="n">
        <f aca="false">IF(H103&gt;23335,0,(H103*90%*4.75%))</f>
        <v>802.845</v>
      </c>
      <c r="M103" s="24" t="n">
        <f aca="false">IF(H103*60%*12%&gt;1800,1974,(H103*60%*13.16%))</f>
        <v>1482.8688</v>
      </c>
      <c r="N103" s="25" t="n">
        <f aca="false">H103+L103+M103</f>
        <v>21065.7138</v>
      </c>
    </row>
    <row r="104" customFormat="false" ht="17.25" hidden="false" customHeight="true" outlineLevel="0" collapsed="false">
      <c r="A104" s="18" t="n">
        <v>103</v>
      </c>
      <c r="B104" s="19" t="n">
        <v>3378</v>
      </c>
      <c r="C104" s="20" t="s">
        <v>285</v>
      </c>
      <c r="D104" s="20" t="str">
        <f aca="false">VLOOKUP(B104,[2]sales!$B$2:$D$183,3,0)</f>
        <v>Territory Sales Executive</v>
      </c>
      <c r="E104" s="18" t="s">
        <v>286</v>
      </c>
      <c r="F104" s="18" t="s">
        <v>67</v>
      </c>
      <c r="G104" s="18" t="n">
        <f aca="false">VLOOKUP(B104,[9]Staff!B$7:H$245,7,0)</f>
        <v>17720</v>
      </c>
      <c r="H104" s="18" t="n">
        <f aca="false">VLOOKUP(B104,[9]Staff!B$7:P$245,15,0)</f>
        <v>17720</v>
      </c>
      <c r="I104" s="21" t="str">
        <f aca="false">VLOOKUP(B104,[2]sales!$B$2:$G$183,6,0)</f>
        <v>Bakery North</v>
      </c>
      <c r="J104" s="22" t="s">
        <v>126</v>
      </c>
      <c r="K104" s="23" t="s">
        <v>10</v>
      </c>
      <c r="L104" s="24" t="n">
        <f aca="false">IF(H104&gt;23335,0,(H104*90%*4.75%))</f>
        <v>757.53</v>
      </c>
      <c r="M104" s="24" t="n">
        <f aca="false">IF(H104*60%*12%&gt;1800,1974,(H104*60%*13.16%))</f>
        <v>1399.1712</v>
      </c>
      <c r="N104" s="25" t="n">
        <f aca="false">H104+L104+M104</f>
        <v>19876.7012</v>
      </c>
    </row>
    <row r="105" customFormat="false" ht="17.25" hidden="false" customHeight="true" outlineLevel="0" collapsed="false">
      <c r="A105" s="19" t="n">
        <v>104</v>
      </c>
      <c r="B105" s="19" t="n">
        <v>3379</v>
      </c>
      <c r="C105" s="20" t="s">
        <v>287</v>
      </c>
      <c r="D105" s="20" t="s">
        <v>224</v>
      </c>
      <c r="E105" s="18" t="s">
        <v>288</v>
      </c>
      <c r="F105" s="18" t="s">
        <v>67</v>
      </c>
      <c r="G105" s="18" t="n">
        <f aca="false">VLOOKUP(B105,[9]Staff!B$7:H$245,7,0)</f>
        <v>19260</v>
      </c>
      <c r="H105" s="18" t="n">
        <f aca="false">VLOOKUP(B105,[9]Staff!B$7:P$245,15,0)</f>
        <v>19260</v>
      </c>
      <c r="I105" s="22" t="s">
        <v>39</v>
      </c>
      <c r="J105" s="22" t="s">
        <v>39</v>
      </c>
      <c r="K105" s="23" t="s">
        <v>10</v>
      </c>
      <c r="L105" s="24" t="n">
        <f aca="false">IF(H105&gt;23335,0,(H105*90%*4.75%))</f>
        <v>823.365</v>
      </c>
      <c r="M105" s="24" t="n">
        <f aca="false">IF(H105*60%*12%&gt;1800,1974,(H105*60%*13.16%))</f>
        <v>1520.7696</v>
      </c>
      <c r="N105" s="25" t="n">
        <f aca="false">H105+L105+M105</f>
        <v>21604.1346</v>
      </c>
    </row>
    <row r="106" customFormat="false" ht="17.25" hidden="false" customHeight="true" outlineLevel="0" collapsed="false">
      <c r="A106" s="18" t="n">
        <v>105</v>
      </c>
      <c r="B106" s="19" t="n">
        <v>3384</v>
      </c>
      <c r="C106" s="20" t="s">
        <v>289</v>
      </c>
      <c r="D106" s="20" t="str">
        <f aca="false">VLOOKUP(B106,[2]sales!$B$2:$D$183,3,0)</f>
        <v>Territory Sales Executive</v>
      </c>
      <c r="E106" s="18" t="s">
        <v>290</v>
      </c>
      <c r="F106" s="18" t="s">
        <v>67</v>
      </c>
      <c r="G106" s="18" t="n">
        <f aca="false">VLOOKUP(B106,[9]Staff!B$7:H$245,7,0)</f>
        <v>17570</v>
      </c>
      <c r="H106" s="18" t="n">
        <f aca="false">VLOOKUP(B106,[9]Staff!B$7:P$245,15,0)</f>
        <v>17570</v>
      </c>
      <c r="I106" s="21" t="str">
        <f aca="false">VLOOKUP(B106,[2]sales!$B$2:$G$183,6,0)</f>
        <v>CPD North</v>
      </c>
      <c r="J106" s="22" t="s">
        <v>76</v>
      </c>
      <c r="K106" s="23" t="s">
        <v>10</v>
      </c>
      <c r="L106" s="24" t="n">
        <f aca="false">IF(H106&gt;23335,0,(H106*90%*4.75%))</f>
        <v>751.1175</v>
      </c>
      <c r="M106" s="24" t="n">
        <f aca="false">IF(H106*60%*12%&gt;1800,1974,(H106*60%*13.16%))</f>
        <v>1387.3272</v>
      </c>
      <c r="N106" s="25" t="n">
        <f aca="false">H106+L106+M106</f>
        <v>19708.4447</v>
      </c>
    </row>
    <row r="107" customFormat="false" ht="31.5" hidden="false" customHeight="true" outlineLevel="0" collapsed="false">
      <c r="A107" s="19" t="n">
        <v>106</v>
      </c>
      <c r="B107" s="19" t="n">
        <v>3395</v>
      </c>
      <c r="C107" s="20" t="s">
        <v>291</v>
      </c>
      <c r="D107" s="20" t="str">
        <f aca="false">VLOOKUP(B107,[2]sales!$B$2:$D$183,3,0)</f>
        <v>Sr.Area Sales Manager</v>
      </c>
      <c r="E107" s="18" t="s">
        <v>290</v>
      </c>
      <c r="F107" s="18" t="s">
        <v>61</v>
      </c>
      <c r="G107" s="18" t="n">
        <f aca="false">VLOOKUP(B107,'[6]staff klmsy (2)'!$B$7:I$84,8,0)</f>
        <v>58000</v>
      </c>
      <c r="H107" s="18" t="n">
        <f aca="false">VLOOKUP(B107,'[6]staff klmsy (2)'!B$7:R$84,17,0)</f>
        <v>58000</v>
      </c>
      <c r="I107" s="21" t="str">
        <f aca="false">VLOOKUP(B107,[2]sales!$B$2:$G$183,6,0)</f>
        <v>Bakery South</v>
      </c>
      <c r="J107" s="22" t="s">
        <v>126</v>
      </c>
      <c r="K107" s="23" t="s">
        <v>8</v>
      </c>
      <c r="L107" s="24" t="n">
        <f aca="false">IF(H107&gt;23335,0,(H107*90%*4.75%))</f>
        <v>0</v>
      </c>
      <c r="M107" s="24" t="n">
        <f aca="false">IF(H107*60%*12%&gt;1800,1974,(H107*60%*13.16%))</f>
        <v>1974</v>
      </c>
      <c r="N107" s="25" t="n">
        <f aca="false">H107+L107+M107</f>
        <v>59974</v>
      </c>
    </row>
    <row r="108" customFormat="false" ht="31.5" hidden="false" customHeight="true" outlineLevel="0" collapsed="false">
      <c r="A108" s="18" t="n">
        <v>107</v>
      </c>
      <c r="B108" s="19" t="n">
        <v>5005</v>
      </c>
      <c r="C108" s="20" t="s">
        <v>292</v>
      </c>
      <c r="D108" s="20" t="s">
        <v>293</v>
      </c>
      <c r="E108" s="18" t="s">
        <v>178</v>
      </c>
      <c r="F108" s="18" t="s">
        <v>109</v>
      </c>
      <c r="G108" s="18" t="n">
        <f aca="false">VLOOKUP(B108,'[4]salary aroor'!B$7:H$52,7,0)</f>
        <v>13000</v>
      </c>
      <c r="H108" s="28" t="n">
        <f aca="false">VLOOKUP(B108,'[4]salary aroor'!B$7:L$52,11,0)</f>
        <v>6933.33</v>
      </c>
      <c r="I108" s="21" t="s">
        <v>125</v>
      </c>
      <c r="J108" s="22"/>
      <c r="K108" s="23" t="s">
        <v>4</v>
      </c>
      <c r="L108" s="24" t="n">
        <f aca="false">IF(H108&gt;23335,0,(H108*90%*4.75%))</f>
        <v>296.3998575</v>
      </c>
      <c r="M108" s="24" t="n">
        <f aca="false">IF(H108*60%*12%&gt;1800,1974,(H108*60%*13.16%))</f>
        <v>547.4557368</v>
      </c>
      <c r="N108" s="25" t="n">
        <f aca="false">H108+L108+M108</f>
        <v>7777.1855943</v>
      </c>
    </row>
    <row r="109" customFormat="false" ht="17.25" hidden="false" customHeight="true" outlineLevel="0" collapsed="false">
      <c r="A109" s="19" t="n">
        <v>108</v>
      </c>
      <c r="B109" s="19" t="n">
        <v>3408</v>
      </c>
      <c r="C109" s="20" t="s">
        <v>294</v>
      </c>
      <c r="D109" s="20" t="str">
        <f aca="false">VLOOKUP(B109,[2]sales!$B$2:$D$183,3,0)</f>
        <v>Territory Sales Executive</v>
      </c>
      <c r="E109" s="18" t="s">
        <v>295</v>
      </c>
      <c r="F109" s="18" t="s">
        <v>67</v>
      </c>
      <c r="G109" s="18" t="n">
        <f aca="false">VLOOKUP(B109,'[3]april (2)'!B$8:H$132,7,0)</f>
        <v>15890</v>
      </c>
      <c r="H109" s="18" t="n">
        <f aca="false">VLOOKUP(B109,'[3]april (2)'!B$8:N$132,13,0)</f>
        <v>15890</v>
      </c>
      <c r="I109" s="21" t="str">
        <f aca="false">VLOOKUP(B109,[2]sales!$B$2:$G$183,6,0)</f>
        <v>Institution Sales</v>
      </c>
      <c r="J109" s="22" t="s">
        <v>110</v>
      </c>
      <c r="K109" s="23" t="s">
        <v>3</v>
      </c>
      <c r="L109" s="24" t="n">
        <f aca="false">IF(H109&gt;23335,0,(H109*90%*4.75%))</f>
        <v>679.2975</v>
      </c>
      <c r="M109" s="24" t="n">
        <f aca="false">IF(H109*60%*12%&gt;1800,1974,(H109*60%*13.16%))</f>
        <v>1254.6744</v>
      </c>
      <c r="N109" s="25" t="n">
        <f aca="false">H109+L109+M109</f>
        <v>17823.9719</v>
      </c>
    </row>
    <row r="110" customFormat="false" ht="31.5" hidden="false" customHeight="true" outlineLevel="0" collapsed="false">
      <c r="A110" s="18" t="n">
        <v>109</v>
      </c>
      <c r="B110" s="18" t="n">
        <v>3468</v>
      </c>
      <c r="C110" s="33" t="s">
        <v>296</v>
      </c>
      <c r="D110" s="20" t="s">
        <v>297</v>
      </c>
      <c r="E110" s="18" t="s">
        <v>298</v>
      </c>
      <c r="F110" s="18" t="s">
        <v>299</v>
      </c>
      <c r="G110" s="18" t="n">
        <f aca="false">VLOOKUP(B110,'[8]Tasty Toast-Apr''18'!B$5:H$61,7,0)</f>
        <v>17430</v>
      </c>
      <c r="H110" s="18" t="n">
        <f aca="false">VLOOKUP(B110,'[8]Tasty Toast-Apr''18'!B$5:N$61,13,0)</f>
        <v>17430</v>
      </c>
      <c r="I110" s="21" t="s">
        <v>137</v>
      </c>
      <c r="J110" s="20" t="s">
        <v>300</v>
      </c>
      <c r="K110" s="23" t="s">
        <v>5</v>
      </c>
      <c r="L110" s="25" t="n">
        <f aca="false">IF(H110&gt;21000,0,(H110*4.75%))</f>
        <v>827.925</v>
      </c>
      <c r="M110" s="25" t="n">
        <f aca="false">IF(H110*70%*12%&gt;1800,1974,(H110*70%*12%))</f>
        <v>1464.12</v>
      </c>
      <c r="N110" s="25" t="n">
        <f aca="false">H110+L110+M110</f>
        <v>19722.045</v>
      </c>
    </row>
    <row r="111" customFormat="false" ht="31.5" hidden="false" customHeight="true" outlineLevel="0" collapsed="false">
      <c r="A111" s="19" t="n">
        <v>110</v>
      </c>
      <c r="B111" s="19" t="n">
        <v>3472</v>
      </c>
      <c r="C111" s="20" t="s">
        <v>301</v>
      </c>
      <c r="D111" s="20" t="str">
        <f aca="false">VLOOKUP(B111,[2]sales!$B$2:$D$183,3,0)</f>
        <v>Territory Sales Executive</v>
      </c>
      <c r="E111" s="18" t="s">
        <v>302</v>
      </c>
      <c r="F111" s="18" t="s">
        <v>67</v>
      </c>
      <c r="G111" s="18" t="n">
        <f aca="false">VLOOKUP(B111,'[6]staff klmsy (2)'!$B$7:I$84,8,0)</f>
        <v>16900</v>
      </c>
      <c r="H111" s="18" t="n">
        <f aca="false">VLOOKUP(B111,'[6]staff klmsy (2)'!B$7:R$84,17,0)</f>
        <v>16900</v>
      </c>
      <c r="I111" s="21" t="str">
        <f aca="false">VLOOKUP(B111,[2]sales!$B$2:$G$183,6,0)</f>
        <v>Modern Trade</v>
      </c>
      <c r="J111" s="22" t="s">
        <v>126</v>
      </c>
      <c r="K111" s="23" t="s">
        <v>8</v>
      </c>
      <c r="L111" s="24" t="n">
        <f aca="false">IF(H111&gt;23335,0,(H111*90%*4.75%))</f>
        <v>722.475</v>
      </c>
      <c r="M111" s="24" t="n">
        <f aca="false">IF(H111*60%*12%&gt;1800,1974,(H111*60%*13.16%))</f>
        <v>1334.424</v>
      </c>
      <c r="N111" s="25" t="n">
        <f aca="false">H111+L111+M111</f>
        <v>18956.899</v>
      </c>
    </row>
    <row r="112" customFormat="false" ht="31.5" hidden="false" customHeight="true" outlineLevel="0" collapsed="false">
      <c r="A112" s="18" t="n">
        <v>111</v>
      </c>
      <c r="B112" s="19" t="n">
        <v>4532</v>
      </c>
      <c r="C112" s="20" t="s">
        <v>303</v>
      </c>
      <c r="D112" s="20" t="str">
        <f aca="false">VLOOKUP(B112,[2]sales!$B$2:$D$183,3,0)</f>
        <v>Territory Sales Executive</v>
      </c>
      <c r="E112" s="18" t="s">
        <v>304</v>
      </c>
      <c r="F112" s="18" t="s">
        <v>67</v>
      </c>
      <c r="G112" s="18" t="n">
        <f aca="false">VLOOKUP(B112,'[6]staff klmsy (2)'!$B$7:I$84,8,0)</f>
        <v>19000</v>
      </c>
      <c r="H112" s="18" t="n">
        <f aca="false">VLOOKUP(B112,'[6]staff klmsy (2)'!B$7:R$84,17,0)</f>
        <v>19000</v>
      </c>
      <c r="I112" s="21" t="str">
        <f aca="false">VLOOKUP(B112,[2]sales!$B$2:$G$183,6,0)</f>
        <v>Bakery South</v>
      </c>
      <c r="J112" s="22" t="s">
        <v>126</v>
      </c>
      <c r="K112" s="23" t="s">
        <v>8</v>
      </c>
      <c r="L112" s="24" t="n">
        <f aca="false">IF(H112&gt;23335,0,(H112*90%*4.75%))</f>
        <v>812.25</v>
      </c>
      <c r="M112" s="24" t="n">
        <f aca="false">IF(H112*60%*12%&gt;1800,1974,(H112*60%*13.16%))</f>
        <v>1500.24</v>
      </c>
      <c r="N112" s="25" t="n">
        <f aca="false">H112+L112+M112</f>
        <v>21312.49</v>
      </c>
    </row>
    <row r="113" customFormat="false" ht="31.5" hidden="false" customHeight="true" outlineLevel="0" collapsed="false">
      <c r="A113" s="19" t="n">
        <v>112</v>
      </c>
      <c r="B113" s="19" t="n">
        <v>4534</v>
      </c>
      <c r="C113" s="20" t="s">
        <v>305</v>
      </c>
      <c r="D113" s="20" t="str">
        <f aca="false">VLOOKUP(B113,[2]sales!$B$2:$D$183,3,0)</f>
        <v>Territory Sales Executive</v>
      </c>
      <c r="E113" s="18" t="s">
        <v>306</v>
      </c>
      <c r="F113" s="18" t="s">
        <v>67</v>
      </c>
      <c r="G113" s="18" t="n">
        <f aca="false">VLOOKUP(B113,'[6]staff klmsy (2)'!$B$7:I$84,8,0)</f>
        <v>18000</v>
      </c>
      <c r="H113" s="18" t="n">
        <f aca="false">VLOOKUP(B113,'[6]staff klmsy (2)'!B$7:R$84,17,0)</f>
        <v>18000</v>
      </c>
      <c r="I113" s="21" t="str">
        <f aca="false">VLOOKUP(B113,[2]sales!$B$2:$G$183,6,0)</f>
        <v>Bakery South</v>
      </c>
      <c r="J113" s="22" t="s">
        <v>126</v>
      </c>
      <c r="K113" s="23" t="s">
        <v>8</v>
      </c>
      <c r="L113" s="24" t="n">
        <f aca="false">IF(H113&gt;23335,0,(H113*90%*4.75%))</f>
        <v>769.5</v>
      </c>
      <c r="M113" s="24" t="n">
        <f aca="false">IF(H113*60%*12%&gt;1800,1974,(H113*60%*13.16%))</f>
        <v>1421.28</v>
      </c>
      <c r="N113" s="25" t="n">
        <f aca="false">H113+L113+M113</f>
        <v>20190.78</v>
      </c>
    </row>
    <row r="114" customFormat="false" ht="32.25" hidden="false" customHeight="true" outlineLevel="0" collapsed="false">
      <c r="A114" s="18" t="n">
        <v>113</v>
      </c>
      <c r="B114" s="19" t="n">
        <v>4539</v>
      </c>
      <c r="C114" s="20" t="s">
        <v>307</v>
      </c>
      <c r="D114" s="20" t="str">
        <f aca="false">VLOOKUP(B114,[2]sales!$B$2:$D$183,3,0)</f>
        <v>Territory Sales Executive</v>
      </c>
      <c r="E114" s="18" t="s">
        <v>308</v>
      </c>
      <c r="F114" s="18" t="s">
        <v>67</v>
      </c>
      <c r="G114" s="18" t="n">
        <f aca="false">VLOOKUP(B114,'[6]staff klmsy (2)'!$B$7:I$84,8,0)</f>
        <v>17000</v>
      </c>
      <c r="H114" s="18" t="n">
        <f aca="false">VLOOKUP(B114,'[6]staff klmsy (2)'!B$7:R$84,17,0)</f>
        <v>17000</v>
      </c>
      <c r="I114" s="21" t="str">
        <f aca="false">VLOOKUP(B114,[2]sales!$B$2:$G$183,6,0)</f>
        <v>Bakery South</v>
      </c>
      <c r="J114" s="22" t="s">
        <v>126</v>
      </c>
      <c r="K114" s="23" t="s">
        <v>8</v>
      </c>
      <c r="L114" s="24" t="n">
        <f aca="false">IF(H114&gt;23335,0,(H114*90%*4.75%))</f>
        <v>726.75</v>
      </c>
      <c r="M114" s="24" t="n">
        <f aca="false">IF(H114*60%*12%&gt;1800,1974,(H114*60%*13.16%))</f>
        <v>1342.32</v>
      </c>
      <c r="N114" s="25" t="n">
        <f aca="false">H114+L114+M114</f>
        <v>19069.07</v>
      </c>
    </row>
    <row r="115" customFormat="false" ht="31.5" hidden="false" customHeight="true" outlineLevel="0" collapsed="false">
      <c r="A115" s="19" t="n">
        <v>114</v>
      </c>
      <c r="B115" s="19" t="n">
        <v>4549</v>
      </c>
      <c r="C115" s="20" t="s">
        <v>309</v>
      </c>
      <c r="D115" s="20" t="str">
        <f aca="false">VLOOKUP(B115,[2]sales!$B$2:$D$183,3,0)</f>
        <v>Territory Sales Executive</v>
      </c>
      <c r="E115" s="18" t="s">
        <v>310</v>
      </c>
      <c r="F115" s="18" t="s">
        <v>67</v>
      </c>
      <c r="G115" s="18" t="n">
        <f aca="false">VLOOKUP(B115,'[6]staff klmsy (2)'!$B$7:I$84,8,0)</f>
        <v>17000</v>
      </c>
      <c r="H115" s="18" t="n">
        <f aca="false">VLOOKUP(B115,'[6]staff klmsy (2)'!B$7:R$84,17,0)</f>
        <v>17000</v>
      </c>
      <c r="I115" s="21" t="str">
        <f aca="false">VLOOKUP(B115,[2]sales!$B$2:$G$183,6,0)</f>
        <v>Bakery South</v>
      </c>
      <c r="J115" s="22"/>
      <c r="K115" s="23" t="s">
        <v>8</v>
      </c>
      <c r="L115" s="24" t="n">
        <f aca="false">IF(H115&gt;23335,0,(H115*90%*4.75%))</f>
        <v>726.75</v>
      </c>
      <c r="M115" s="24" t="n">
        <f aca="false">IF(H115*60%*12%&gt;1800,1974,(H115*60%*13.16%))</f>
        <v>1342.32</v>
      </c>
      <c r="N115" s="25" t="n">
        <f aca="false">H115+L115+M115</f>
        <v>19069.07</v>
      </c>
    </row>
    <row r="116" customFormat="false" ht="31.5" hidden="false" customHeight="true" outlineLevel="0" collapsed="false">
      <c r="A116" s="18" t="n">
        <v>115</v>
      </c>
      <c r="B116" s="19" t="n">
        <v>4555</v>
      </c>
      <c r="C116" s="20" t="s">
        <v>311</v>
      </c>
      <c r="D116" s="33" t="s">
        <v>312</v>
      </c>
      <c r="E116" s="18" t="s">
        <v>313</v>
      </c>
      <c r="F116" s="18" t="s">
        <v>299</v>
      </c>
      <c r="G116" s="18" t="n">
        <f aca="false">VLOOKUP(B116,'[6]staff klmsy (2)'!$B$7:I$84,8,0)</f>
        <v>19000</v>
      </c>
      <c r="H116" s="18" t="n">
        <f aca="false">VLOOKUP(B116,'[6]staff klmsy (2)'!B$7:R$84,17,0)</f>
        <v>19000</v>
      </c>
      <c r="I116" s="22" t="s">
        <v>126</v>
      </c>
      <c r="J116" s="22" t="s">
        <v>126</v>
      </c>
      <c r="K116" s="23" t="s">
        <v>8</v>
      </c>
      <c r="L116" s="24" t="n">
        <f aca="false">IF(H116&gt;23335,0,(H116*90%*4.75%))</f>
        <v>812.25</v>
      </c>
      <c r="M116" s="24" t="n">
        <f aca="false">IF(H116*60%*12%&gt;1800,1974,(H116*60%*13.16%))</f>
        <v>1500.24</v>
      </c>
      <c r="N116" s="25" t="n">
        <f aca="false">H116+L116+M116</f>
        <v>21312.49</v>
      </c>
    </row>
    <row r="117" customFormat="false" ht="17.25" hidden="false" customHeight="true" outlineLevel="0" collapsed="false">
      <c r="A117" s="19" t="n">
        <v>116</v>
      </c>
      <c r="B117" s="19" t="n">
        <v>3490</v>
      </c>
      <c r="C117" s="20" t="s">
        <v>314</v>
      </c>
      <c r="D117" s="20" t="str">
        <f aca="false">VLOOKUP(B117,[2]sales!$B$2:$D$183,3,0)</f>
        <v>Area Sales Manager</v>
      </c>
      <c r="E117" s="18" t="s">
        <v>315</v>
      </c>
      <c r="F117" s="18" t="s">
        <v>64</v>
      </c>
      <c r="G117" s="18" t="n">
        <f aca="false">VLOOKUP(B117,'[8]Tasty Toast-Apr''18'!B$5:H$61,7,0)</f>
        <v>54400</v>
      </c>
      <c r="H117" s="18" t="n">
        <f aca="false">VLOOKUP(B117,'[8]Tasty Toast-Apr''18'!B$5:N$61,13,0)</f>
        <v>54400</v>
      </c>
      <c r="I117" s="21" t="str">
        <f aca="false">VLOOKUP(B117,[2]sales!$B$2:$G$183,6,0)</f>
        <v>Bakery North</v>
      </c>
      <c r="J117" s="20" t="s">
        <v>126</v>
      </c>
      <c r="K117" s="23" t="s">
        <v>5</v>
      </c>
      <c r="L117" s="25" t="n">
        <f aca="false">IF(H117&gt;21000,0,(H117*4.75%))</f>
        <v>0</v>
      </c>
      <c r="M117" s="25" t="n">
        <f aca="false">IF(H117*70%*12%&gt;1800,1974,(H117*70%*12%))</f>
        <v>1974</v>
      </c>
      <c r="N117" s="25" t="n">
        <f aca="false">H117+L117+M117</f>
        <v>56374</v>
      </c>
    </row>
    <row r="118" customFormat="false" ht="17.25" hidden="false" customHeight="true" outlineLevel="0" collapsed="false">
      <c r="A118" s="18" t="n">
        <v>117</v>
      </c>
      <c r="B118" s="19" t="n">
        <v>3539</v>
      </c>
      <c r="C118" s="20" t="s">
        <v>316</v>
      </c>
      <c r="D118" s="20" t="str">
        <f aca="false">VLOOKUP(B118,[2]sales!$B$2:$D$183,3,0)</f>
        <v>Territory Sales Executive</v>
      </c>
      <c r="E118" s="18" t="s">
        <v>317</v>
      </c>
      <c r="F118" s="18" t="s">
        <v>67</v>
      </c>
      <c r="G118" s="18" t="n">
        <f aca="false">VLOOKUP(B118,'[3]april (2)'!B$8:H$132,7,0)</f>
        <v>13400</v>
      </c>
      <c r="H118" s="18" t="n">
        <f aca="false">VLOOKUP(B118,'[3]april (2)'!B$8:N$132,13,0)</f>
        <v>13400</v>
      </c>
      <c r="I118" s="21" t="str">
        <f aca="false">VLOOKUP(B118,[2]sales!$B$2:$G$183,6,0)</f>
        <v>Bakery South</v>
      </c>
      <c r="J118" s="22" t="s">
        <v>110</v>
      </c>
      <c r="K118" s="23" t="s">
        <v>3</v>
      </c>
      <c r="L118" s="24" t="n">
        <f aca="false">IF(H118&gt;23335,0,(H118*90%*4.75%))</f>
        <v>572.85</v>
      </c>
      <c r="M118" s="24" t="n">
        <f aca="false">IF(H118*60%*12%&gt;1800,1974,(H118*60%*13.16%))</f>
        <v>1058.064</v>
      </c>
      <c r="N118" s="25" t="n">
        <f aca="false">H118+L118+M118</f>
        <v>15030.914</v>
      </c>
    </row>
    <row r="119" customFormat="false" ht="31.5" hidden="false" customHeight="true" outlineLevel="0" collapsed="false">
      <c r="A119" s="19" t="n">
        <v>118</v>
      </c>
      <c r="B119" s="19" t="n">
        <v>3548</v>
      </c>
      <c r="C119" s="20" t="s">
        <v>318</v>
      </c>
      <c r="D119" s="20" t="str">
        <f aca="false">VLOOKUP(B119,[2]sales!$B$2:$D$183,3,0)</f>
        <v>Territory Sales Executive</v>
      </c>
      <c r="E119" s="18" t="s">
        <v>319</v>
      </c>
      <c r="F119" s="18" t="s">
        <v>282</v>
      </c>
      <c r="G119" s="18" t="n">
        <f aca="false">VLOOKUP(B119,'[6]staff klmsy (2)'!$B$7:I$84,8,0)</f>
        <v>17080</v>
      </c>
      <c r="H119" s="18" t="n">
        <f aca="false">VLOOKUP(B119,'[6]staff klmsy (2)'!B$7:R$84,17,0)</f>
        <v>17080</v>
      </c>
      <c r="I119" s="21" t="str">
        <f aca="false">VLOOKUP(B119,[2]sales!$B$2:$G$183,6,0)</f>
        <v>Bakery South</v>
      </c>
      <c r="J119" s="22" t="s">
        <v>126</v>
      </c>
      <c r="K119" s="23" t="s">
        <v>8</v>
      </c>
      <c r="L119" s="24" t="n">
        <f aca="false">IF(H119&gt;23335,0,(H119*90%*4.75%))</f>
        <v>730.17</v>
      </c>
      <c r="M119" s="24" t="n">
        <f aca="false">IF(H119*60%*12%&gt;1800,1974,(H119*60%*13.16%))</f>
        <v>1348.6368</v>
      </c>
      <c r="N119" s="25" t="n">
        <f aca="false">H119+L119+M119</f>
        <v>19158.8068</v>
      </c>
    </row>
    <row r="120" customFormat="false" ht="17.25" hidden="false" customHeight="true" outlineLevel="0" collapsed="false">
      <c r="A120" s="18" t="n">
        <v>119</v>
      </c>
      <c r="B120" s="18" t="n">
        <v>3570</v>
      </c>
      <c r="C120" s="20" t="s">
        <v>320</v>
      </c>
      <c r="D120" s="20" t="s">
        <v>293</v>
      </c>
      <c r="E120" s="18" t="s">
        <v>321</v>
      </c>
      <c r="F120" s="18" t="s">
        <v>109</v>
      </c>
      <c r="G120" s="18" t="n">
        <f aca="false">VLOOKUP(B120,'[3]april (2)'!B$8:H$132,7,0)</f>
        <v>15500</v>
      </c>
      <c r="H120" s="18" t="n">
        <f aca="false">VLOOKUP(B120,'[3]april (2)'!B$8:N$132,13,0)</f>
        <v>15500</v>
      </c>
      <c r="I120" s="22" t="s">
        <v>125</v>
      </c>
      <c r="J120" s="22" t="s">
        <v>76</v>
      </c>
      <c r="K120" s="23" t="s">
        <v>3</v>
      </c>
      <c r="L120" s="24" t="n">
        <f aca="false">IF(H120&gt;23335,0,(H120*90%*4.75%))</f>
        <v>662.625</v>
      </c>
      <c r="M120" s="24" t="n">
        <f aca="false">IF(H120*60%*12%&gt;1800,1974,(H120*60%*13.16%))</f>
        <v>1223.88</v>
      </c>
      <c r="N120" s="25" t="n">
        <f aca="false">H120+L120+M120</f>
        <v>17386.505</v>
      </c>
    </row>
    <row r="121" customFormat="false" ht="17.25" hidden="false" customHeight="true" outlineLevel="0" collapsed="false">
      <c r="A121" s="19" t="n">
        <v>120</v>
      </c>
      <c r="B121" s="19" t="n">
        <v>3593</v>
      </c>
      <c r="C121" s="20" t="s">
        <v>322</v>
      </c>
      <c r="D121" s="20" t="str">
        <f aca="false">VLOOKUP(B121,[2]sales!$B$2:$D$183,3,0)</f>
        <v>Territory Sales Executive</v>
      </c>
      <c r="E121" s="18" t="s">
        <v>323</v>
      </c>
      <c r="F121" s="18" t="s">
        <v>67</v>
      </c>
      <c r="G121" s="18" t="n">
        <f aca="false">VLOOKUP(B121,[9]Staff!B$7:H$245,7,0)</f>
        <v>11620</v>
      </c>
      <c r="H121" s="18" t="n">
        <f aca="false">VLOOKUP(B121,[9]Staff!B$7:P$245,15,0)</f>
        <v>11620</v>
      </c>
      <c r="I121" s="21" t="str">
        <f aca="false">VLOOKUP(B121,[2]sales!$B$2:$G$183,6,0)</f>
        <v>Bulk</v>
      </c>
      <c r="J121" s="22" t="s">
        <v>76</v>
      </c>
      <c r="K121" s="23" t="s">
        <v>10</v>
      </c>
      <c r="L121" s="24" t="n">
        <f aca="false">IF(H121&gt;23335,0,(H121*90%*4.75%))</f>
        <v>496.755</v>
      </c>
      <c r="M121" s="24" t="n">
        <f aca="false">IF(H121*60%*12%&gt;1800,1974,(H121*60%*13.16%))</f>
        <v>917.5152</v>
      </c>
      <c r="N121" s="25" t="n">
        <f aca="false">H121+L121+M121</f>
        <v>13034.2702</v>
      </c>
    </row>
    <row r="122" customFormat="false" ht="17.25" hidden="false" customHeight="true" outlineLevel="0" collapsed="false">
      <c r="A122" s="18" t="n">
        <v>121</v>
      </c>
      <c r="B122" s="19" t="n">
        <v>4959</v>
      </c>
      <c r="C122" s="20" t="s">
        <v>324</v>
      </c>
      <c r="D122" s="20" t="s">
        <v>293</v>
      </c>
      <c r="E122" s="18" t="s">
        <v>129</v>
      </c>
      <c r="F122" s="18" t="s">
        <v>109</v>
      </c>
      <c r="G122" s="18" t="n">
        <f aca="false">VLOOKUP(B122,[9]Staff!B$7:H$245,7,0)</f>
        <v>12000</v>
      </c>
      <c r="H122" s="18" t="n">
        <f aca="false">VLOOKUP(B122,[9]Staff!B$7:P$245,15,0)</f>
        <v>8400</v>
      </c>
      <c r="I122" s="21" t="s">
        <v>27</v>
      </c>
      <c r="J122" s="22"/>
      <c r="K122" s="23" t="s">
        <v>10</v>
      </c>
      <c r="L122" s="24" t="n">
        <f aca="false">IF(H122&gt;23335,0,(H122*90%*4.75%))</f>
        <v>359.1</v>
      </c>
      <c r="M122" s="24" t="n">
        <f aca="false">IF(H122*60%*12%&gt;1800,1974,(H122*60%*13.16%))</f>
        <v>663.264</v>
      </c>
      <c r="N122" s="25" t="n">
        <f aca="false">H122+L122+M122</f>
        <v>9422.364</v>
      </c>
    </row>
    <row r="123" customFormat="false" ht="17.25" hidden="false" customHeight="true" outlineLevel="0" collapsed="false">
      <c r="A123" s="19" t="n">
        <v>122</v>
      </c>
      <c r="B123" s="19" t="n">
        <v>3600</v>
      </c>
      <c r="C123" s="20" t="s">
        <v>325</v>
      </c>
      <c r="D123" s="20" t="str">
        <f aca="false">VLOOKUP(B123,[2]sales!$B$2:$D$183,3,0)</f>
        <v>Territory Sales Executive</v>
      </c>
      <c r="E123" s="18" t="s">
        <v>323</v>
      </c>
      <c r="F123" s="18" t="s">
        <v>67</v>
      </c>
      <c r="G123" s="18" t="n">
        <f aca="false">VLOOKUP(B123,[9]Staff!B$7:H$245,7,0)</f>
        <v>15120</v>
      </c>
      <c r="H123" s="18" t="n">
        <f aca="false">VLOOKUP(B123,[9]Staff!B$7:P$245,15,0)</f>
        <v>15120</v>
      </c>
      <c r="I123" s="21" t="str">
        <f aca="false">VLOOKUP(B123,[2]sales!$B$2:$G$183,6,0)</f>
        <v>Tamilnadu</v>
      </c>
      <c r="J123" s="22" t="s">
        <v>39</v>
      </c>
      <c r="K123" s="23" t="s">
        <v>10</v>
      </c>
      <c r="L123" s="24" t="n">
        <f aca="false">IF(H123&gt;23335,0,(H123*90%*4.75%))</f>
        <v>646.38</v>
      </c>
      <c r="M123" s="24" t="n">
        <f aca="false">IF(H123*60%*12%&gt;1800,1974,(H123*60%*13.16%))</f>
        <v>1193.8752</v>
      </c>
      <c r="N123" s="25" t="n">
        <f aca="false">H123+L123+M123</f>
        <v>16960.2552</v>
      </c>
    </row>
    <row r="124" customFormat="false" ht="17.25" hidden="false" customHeight="false" outlineLevel="0" collapsed="false">
      <c r="A124" s="18" t="n">
        <v>123</v>
      </c>
      <c r="B124" s="19" t="n">
        <v>3610</v>
      </c>
      <c r="C124" s="20" t="s">
        <v>326</v>
      </c>
      <c r="D124" s="20" t="str">
        <f aca="false">VLOOKUP(B124,[2]sales!$B$2:$D$183,3,0)</f>
        <v>Territory Sales Executive</v>
      </c>
      <c r="E124" s="18" t="s">
        <v>327</v>
      </c>
      <c r="F124" s="18" t="s">
        <v>67</v>
      </c>
      <c r="G124" s="18" t="n">
        <f aca="false">VLOOKUP(B124,'[4]salary aroor'!B$7:H$52,7,0)</f>
        <v>19320</v>
      </c>
      <c r="H124" s="18" t="n">
        <f aca="false">VLOOKUP(B124,'[4]salary aroor'!B$7:L$52,11,0)</f>
        <v>19320</v>
      </c>
      <c r="I124" s="21" t="str">
        <f aca="false">VLOOKUP(B124,[2]sales!$B$2:$G$183,6,0)</f>
        <v>Bakery South</v>
      </c>
      <c r="J124" s="22" t="s">
        <v>328</v>
      </c>
      <c r="K124" s="23" t="s">
        <v>4</v>
      </c>
      <c r="L124" s="24" t="n">
        <f aca="false">IF(H124&gt;23335,0,(H124*90%*4.75%))</f>
        <v>825.93</v>
      </c>
      <c r="M124" s="24" t="n">
        <f aca="false">IF(H124*60%*12%&gt;1800,1974,(H124*60%*13.16%))</f>
        <v>1525.5072</v>
      </c>
      <c r="N124" s="25" t="n">
        <f aca="false">H124+L124+M124</f>
        <v>21671.4372</v>
      </c>
    </row>
    <row r="125" customFormat="false" ht="17.25" hidden="false" customHeight="true" outlineLevel="0" collapsed="false">
      <c r="A125" s="19" t="n">
        <v>124</v>
      </c>
      <c r="B125" s="18" t="n">
        <v>3620</v>
      </c>
      <c r="C125" s="36" t="s">
        <v>329</v>
      </c>
      <c r="D125" s="36" t="s">
        <v>271</v>
      </c>
      <c r="E125" s="18" t="s">
        <v>330</v>
      </c>
      <c r="F125" s="18" t="s">
        <v>331</v>
      </c>
      <c r="G125" s="18" t="n">
        <f aca="false">VLOOKUP(B125,[9]Staff!B$7:H$245,7,0)</f>
        <v>9200</v>
      </c>
      <c r="H125" s="18" t="n">
        <f aca="false">VLOOKUP(B125,[9]Staff!B$7:P$245,15,0)</f>
        <v>9200</v>
      </c>
      <c r="I125" s="22" t="s">
        <v>33</v>
      </c>
      <c r="J125" s="22" t="s">
        <v>33</v>
      </c>
      <c r="K125" s="23" t="s">
        <v>10</v>
      </c>
      <c r="L125" s="24" t="n">
        <f aca="false">IF(H125&gt;23335,0,(H125*90%*4.75%))</f>
        <v>393.3</v>
      </c>
      <c r="M125" s="24" t="n">
        <f aca="false">IF(H125*60%*12%&gt;1800,1974,(H125*60%*13.16%))</f>
        <v>726.432</v>
      </c>
      <c r="N125" s="25" t="n">
        <f aca="false">H125+L125+M125</f>
        <v>10319.732</v>
      </c>
    </row>
    <row r="126" customFormat="false" ht="17.25" hidden="false" customHeight="true" outlineLevel="0" collapsed="false">
      <c r="A126" s="18" t="n">
        <v>125</v>
      </c>
      <c r="B126" s="19" t="n">
        <v>3681</v>
      </c>
      <c r="C126" s="26" t="s">
        <v>332</v>
      </c>
      <c r="D126" s="20" t="str">
        <f aca="false">VLOOKUP(B126,[2]sales!$B$2:$D$183,3,0)</f>
        <v>Territory Sales Executive</v>
      </c>
      <c r="E126" s="18" t="s">
        <v>333</v>
      </c>
      <c r="F126" s="18" t="s">
        <v>67</v>
      </c>
      <c r="G126" s="18" t="n">
        <f aca="false">VLOOKUP(B126,'[5]Hosur-Apr''18'!B$5:H$127,7,0)</f>
        <v>15510</v>
      </c>
      <c r="H126" s="18" t="n">
        <f aca="false">VLOOKUP(B126,'[5]Hosur-Apr''18'!B$5:M$127,12,0)</f>
        <v>15510</v>
      </c>
      <c r="I126" s="21" t="str">
        <f aca="false">VLOOKUP(B126,[2]sales!$B$2:$G$183,6,0)</f>
        <v>Karnataka</v>
      </c>
      <c r="J126" s="22" t="s">
        <v>33</v>
      </c>
      <c r="K126" s="23" t="s">
        <v>7</v>
      </c>
      <c r="L126" s="25" t="n">
        <f aca="false">IF(H126&gt;21000,0,(H126*4.75%))</f>
        <v>736.725</v>
      </c>
      <c r="M126" s="25" t="n">
        <f aca="false">IF(H126*70%*12%&gt;1800,1974,(H126*70%*12%))</f>
        <v>1302.84</v>
      </c>
      <c r="N126" s="25" t="n">
        <f aca="false">H126+L126+M126</f>
        <v>17549.565</v>
      </c>
    </row>
    <row r="127" customFormat="false" ht="17.25" hidden="false" customHeight="true" outlineLevel="0" collapsed="false">
      <c r="A127" s="19" t="n">
        <v>126</v>
      </c>
      <c r="B127" s="19" t="n">
        <v>3698</v>
      </c>
      <c r="C127" s="20" t="s">
        <v>334</v>
      </c>
      <c r="D127" s="20" t="str">
        <f aca="false">VLOOKUP(B127,[2]sales!$B$2:$D$183,3,0)</f>
        <v>Territory Sales Executive</v>
      </c>
      <c r="E127" s="18" t="s">
        <v>335</v>
      </c>
      <c r="F127" s="18" t="s">
        <v>67</v>
      </c>
      <c r="G127" s="18" t="n">
        <f aca="false">VLOOKUP(B127,'[5]Hosur-Apr''18'!B$5:H$127,7,0)</f>
        <v>16370</v>
      </c>
      <c r="H127" s="18" t="n">
        <f aca="false">VLOOKUP(B127,'[5]Hosur-Apr''18'!B$5:M$127,12,0)</f>
        <v>16370</v>
      </c>
      <c r="I127" s="21" t="str">
        <f aca="false">VLOOKUP(B127,[2]sales!$B$2:$G$183,6,0)</f>
        <v>AP</v>
      </c>
      <c r="J127" s="22" t="s">
        <v>26</v>
      </c>
      <c r="K127" s="23" t="s">
        <v>7</v>
      </c>
      <c r="L127" s="25" t="n">
        <f aca="false">IF(H127&gt;21000,0,(H127*4.75%))</f>
        <v>777.575</v>
      </c>
      <c r="M127" s="25" t="n">
        <f aca="false">IF(H127*70%*12%&gt;1800,1974,(H127*70%*12%))</f>
        <v>1375.08</v>
      </c>
      <c r="N127" s="25" t="n">
        <f aca="false">H127+L127+M127</f>
        <v>18522.655</v>
      </c>
    </row>
    <row r="128" customFormat="false" ht="17.25" hidden="false" customHeight="true" outlineLevel="0" collapsed="false">
      <c r="A128" s="18" t="n">
        <v>127</v>
      </c>
      <c r="B128" s="19" t="n">
        <v>4538</v>
      </c>
      <c r="C128" s="20" t="s">
        <v>336</v>
      </c>
      <c r="D128" s="33" t="s">
        <v>135</v>
      </c>
      <c r="E128" s="18" t="s">
        <v>337</v>
      </c>
      <c r="F128" s="18" t="s">
        <v>338</v>
      </c>
      <c r="G128" s="18" t="n">
        <f aca="false">VLOOKUP(B128,'[5]Hosur-Apr''18'!B$5:H$127,7,0)</f>
        <v>9000</v>
      </c>
      <c r="H128" s="18" t="n">
        <f aca="false">VLOOKUP(B128,'[5]Hosur-Apr''18'!B$5:M$127,12,0)</f>
        <v>9000</v>
      </c>
      <c r="I128" s="22" t="s">
        <v>26</v>
      </c>
      <c r="J128" s="22" t="s">
        <v>26</v>
      </c>
      <c r="K128" s="23" t="s">
        <v>7</v>
      </c>
      <c r="L128" s="25" t="n">
        <f aca="false">IF(H128&gt;21000,0,(H128*4.75%))</f>
        <v>427.5</v>
      </c>
      <c r="M128" s="25" t="n">
        <f aca="false">IF(H128*70%*12%&gt;1800,1974,(H128*70%*12%))</f>
        <v>756</v>
      </c>
      <c r="N128" s="25" t="n">
        <f aca="false">H128+L128+M128</f>
        <v>10183.5</v>
      </c>
    </row>
    <row r="129" customFormat="false" ht="17.25" hidden="false" customHeight="true" outlineLevel="0" collapsed="false">
      <c r="A129" s="19" t="n">
        <v>128</v>
      </c>
      <c r="B129" s="19" t="n">
        <v>3711</v>
      </c>
      <c r="C129" s="20" t="s">
        <v>339</v>
      </c>
      <c r="D129" s="20" t="str">
        <f aca="false">VLOOKUP(B129,[2]sales!$B$2:$D$183,3,0)</f>
        <v>Territory Sales Executive</v>
      </c>
      <c r="E129" s="18" t="s">
        <v>340</v>
      </c>
      <c r="F129" s="18" t="s">
        <v>67</v>
      </c>
      <c r="G129" s="18" t="n">
        <f aca="false">VLOOKUP(B129,'[5]Hosur-Apr''18'!B$5:H$127,7,0)</f>
        <v>22490</v>
      </c>
      <c r="H129" s="18" t="n">
        <f aca="false">VLOOKUP(B129,'[5]Hosur-Apr''18'!B$5:M$127,12,0)</f>
        <v>22490</v>
      </c>
      <c r="I129" s="21" t="str">
        <f aca="false">VLOOKUP(B129,[2]sales!$B$2:$G$183,6,0)</f>
        <v>Karnataka</v>
      </c>
      <c r="J129" s="22" t="s">
        <v>33</v>
      </c>
      <c r="K129" s="23" t="s">
        <v>7</v>
      </c>
      <c r="L129" s="25" t="n">
        <f aca="false">IF(H129&gt;21000,0,(H129*4.75%))</f>
        <v>0</v>
      </c>
      <c r="M129" s="25" t="n">
        <f aca="false">IF(H129*70%*12%&gt;1800,1974,(H129*70%*12%))</f>
        <v>1974</v>
      </c>
      <c r="N129" s="25" t="n">
        <f aca="false">H129+L129+M129</f>
        <v>24464</v>
      </c>
    </row>
    <row r="130" customFormat="false" ht="17.25" hidden="false" customHeight="true" outlineLevel="0" collapsed="false">
      <c r="A130" s="18" t="n">
        <v>129</v>
      </c>
      <c r="B130" s="19" t="n">
        <v>3718</v>
      </c>
      <c r="C130" s="20" t="s">
        <v>341</v>
      </c>
      <c r="D130" s="20" t="str">
        <f aca="false">VLOOKUP(B130,[2]sales!$B$2:$D$183,3,0)</f>
        <v>Territory Sales Executive</v>
      </c>
      <c r="E130" s="18" t="s">
        <v>342</v>
      </c>
      <c r="F130" s="18" t="s">
        <v>67</v>
      </c>
      <c r="G130" s="18" t="n">
        <f aca="false">VLOOKUP(B130,'[5]Hosur-Apr''18'!B$5:H$127,7,0)</f>
        <v>15890</v>
      </c>
      <c r="H130" s="18" t="n">
        <f aca="false">VLOOKUP(B130,'[5]Hosur-Apr''18'!B$5:M$127,12,0)</f>
        <v>15890</v>
      </c>
      <c r="I130" s="21" t="str">
        <f aca="false">VLOOKUP(B130,[2]sales!$B$2:$G$183,6,0)</f>
        <v>Tamilnadu</v>
      </c>
      <c r="J130" s="22" t="s">
        <v>39</v>
      </c>
      <c r="K130" s="23" t="s">
        <v>7</v>
      </c>
      <c r="L130" s="25" t="n">
        <f aca="false">IF(H130&gt;21000,0,(H130*4.75%))</f>
        <v>754.775</v>
      </c>
      <c r="M130" s="25" t="n">
        <f aca="false">IF(H130*70%*12%&gt;1800,1974,(H130*70%*12%))</f>
        <v>1334.76</v>
      </c>
      <c r="N130" s="25" t="n">
        <f aca="false">H130+L130+M130</f>
        <v>17979.535</v>
      </c>
    </row>
    <row r="131" customFormat="false" ht="17.25" hidden="false" customHeight="true" outlineLevel="0" collapsed="false">
      <c r="A131" s="19" t="n">
        <v>130</v>
      </c>
      <c r="B131" s="18" t="n">
        <v>3731</v>
      </c>
      <c r="C131" s="35" t="s">
        <v>343</v>
      </c>
      <c r="D131" s="20" t="str">
        <f aca="false">VLOOKUP(B131,[2]sales!$B$2:$D$183,3,0)</f>
        <v>Territory Sales Executive</v>
      </c>
      <c r="E131" s="18" t="s">
        <v>344</v>
      </c>
      <c r="F131" s="18" t="s">
        <v>67</v>
      </c>
      <c r="G131" s="18" t="n">
        <f aca="false">VLOOKUP(B131,'[5]Hosur-Apr''18'!B$5:H$127,7,0)</f>
        <v>28200</v>
      </c>
      <c r="H131" s="18" t="n">
        <f aca="false">VLOOKUP(B131,'[5]Hosur-Apr''18'!B$5:M$127,12,0)</f>
        <v>28200</v>
      </c>
      <c r="I131" s="21" t="str">
        <f aca="false">VLOOKUP(B131,[2]sales!$B$2:$G$183,6,0)</f>
        <v>Karnataka</v>
      </c>
      <c r="J131" s="22" t="s">
        <v>33</v>
      </c>
      <c r="K131" s="23" t="s">
        <v>7</v>
      </c>
      <c r="L131" s="25" t="n">
        <f aca="false">IF(H131&gt;21000,0,(H131*4.75%))</f>
        <v>0</v>
      </c>
      <c r="M131" s="25" t="n">
        <f aca="false">IF(H131*70%*12%&gt;1800,1974,(H131*70%*12%))</f>
        <v>1974</v>
      </c>
      <c r="N131" s="25" t="n">
        <f aca="false">H131+L131+M131</f>
        <v>30174</v>
      </c>
    </row>
    <row r="132" customFormat="false" ht="17.25" hidden="false" customHeight="true" outlineLevel="0" collapsed="false">
      <c r="A132" s="18" t="n">
        <v>131</v>
      </c>
      <c r="B132" s="19" t="n">
        <v>3733</v>
      </c>
      <c r="C132" s="20" t="s">
        <v>345</v>
      </c>
      <c r="D132" s="20" t="str">
        <f aca="false">VLOOKUP(B132,[2]sales!$B$2:$D$183,3,0)</f>
        <v>Territory Sales Executive</v>
      </c>
      <c r="E132" s="18" t="s">
        <v>346</v>
      </c>
      <c r="F132" s="18" t="s">
        <v>67</v>
      </c>
      <c r="G132" s="18" t="n">
        <f aca="false">VLOOKUP(B132,'[5]Hosur-Apr''18'!B$5:H$127,7,0)</f>
        <v>25740</v>
      </c>
      <c r="H132" s="18" t="n">
        <f aca="false">VLOOKUP(B132,'[5]Hosur-Apr''18'!B$5:M$127,12,0)</f>
        <v>25740</v>
      </c>
      <c r="I132" s="21" t="str">
        <f aca="false">VLOOKUP(B132,[2]sales!$B$2:$G$183,6,0)</f>
        <v>Karnataka</v>
      </c>
      <c r="J132" s="22" t="s">
        <v>33</v>
      </c>
      <c r="K132" s="23" t="s">
        <v>7</v>
      </c>
      <c r="L132" s="25" t="n">
        <f aca="false">IF(H132&gt;21000,0,(H132*4.75%))</f>
        <v>0</v>
      </c>
      <c r="M132" s="25" t="n">
        <f aca="false">IF(H132*70%*12%&gt;1800,1974,(H132*70%*12%))</f>
        <v>1974</v>
      </c>
      <c r="N132" s="25" t="n">
        <f aca="false">H132+L132+M132</f>
        <v>27714</v>
      </c>
    </row>
    <row r="133" customFormat="false" ht="17.25" hidden="false" customHeight="true" outlineLevel="0" collapsed="false">
      <c r="A133" s="19" t="n">
        <v>132</v>
      </c>
      <c r="B133" s="18" t="n">
        <v>3761</v>
      </c>
      <c r="C133" s="20" t="s">
        <v>347</v>
      </c>
      <c r="D133" s="20" t="s">
        <v>348</v>
      </c>
      <c r="E133" s="18" t="s">
        <v>349</v>
      </c>
      <c r="F133" s="18" t="s">
        <v>331</v>
      </c>
      <c r="G133" s="18" t="n">
        <f aca="false">VLOOKUP(B133,[9]Staff!B$7:H$245,7,0)</f>
        <v>8630</v>
      </c>
      <c r="H133" s="18" t="n">
        <f aca="false">VLOOKUP(B133,[9]Staff!B$7:P$245,15,0)</f>
        <v>8630</v>
      </c>
      <c r="I133" s="22" t="s">
        <v>33</v>
      </c>
      <c r="J133" s="22" t="s">
        <v>33</v>
      </c>
      <c r="K133" s="23" t="s">
        <v>10</v>
      </c>
      <c r="L133" s="24" t="n">
        <f aca="false">IF(H133&gt;23335,0,(H133*90%*4.75%))</f>
        <v>368.9325</v>
      </c>
      <c r="M133" s="24" t="n">
        <f aca="false">IF(H133*60%*12%&gt;1800,1974,(H133*60%*13.16%))</f>
        <v>681.4248</v>
      </c>
      <c r="N133" s="25" t="n">
        <f aca="false">H133+L133+M133</f>
        <v>9680.3573</v>
      </c>
    </row>
    <row r="134" customFormat="false" ht="17.25" hidden="false" customHeight="true" outlineLevel="0" collapsed="false">
      <c r="A134" s="18" t="n">
        <v>133</v>
      </c>
      <c r="B134" s="18" t="n">
        <v>3765</v>
      </c>
      <c r="C134" s="20" t="s">
        <v>350</v>
      </c>
      <c r="D134" s="20" t="str">
        <f aca="false">VLOOKUP(B134,[2]sales!$B$2:$D$183,3,0)</f>
        <v>Territory Sales Executive</v>
      </c>
      <c r="E134" s="18" t="s">
        <v>351</v>
      </c>
      <c r="F134" s="18" t="s">
        <v>67</v>
      </c>
      <c r="G134" s="18" t="n">
        <f aca="false">VLOOKUP(B134,'[5]Hosur-Apr''18'!B$5:H$127,7,0)</f>
        <v>20020</v>
      </c>
      <c r="H134" s="18" t="n">
        <f aca="false">VLOOKUP(B134,'[5]Hosur-Apr''18'!B$5:M$127,12,0)</f>
        <v>20020</v>
      </c>
      <c r="I134" s="21" t="str">
        <f aca="false">VLOOKUP(B134,[2]sales!$B$2:$G$183,6,0)</f>
        <v>AP</v>
      </c>
      <c r="J134" s="22" t="s">
        <v>26</v>
      </c>
      <c r="K134" s="23" t="s">
        <v>7</v>
      </c>
      <c r="L134" s="25" t="n">
        <f aca="false">IF(H134&gt;21000,0,(H134*4.75%))</f>
        <v>950.95</v>
      </c>
      <c r="M134" s="25" t="n">
        <f aca="false">IF(H134*70%*12%&gt;1800,1974,(H134*70%*12%))</f>
        <v>1681.68</v>
      </c>
      <c r="N134" s="25" t="n">
        <f aca="false">H134+L134+M134</f>
        <v>22652.63</v>
      </c>
    </row>
    <row r="135" customFormat="false" ht="17.25" hidden="false" customHeight="true" outlineLevel="0" collapsed="false">
      <c r="A135" s="19" t="n">
        <v>134</v>
      </c>
      <c r="B135" s="19" t="n">
        <v>3772</v>
      </c>
      <c r="C135" s="35" t="s">
        <v>352</v>
      </c>
      <c r="D135" s="20" t="str">
        <f aca="false">VLOOKUP(B135,[2]sales!$B$2:$D$183,3,0)</f>
        <v>Territory Sales Executive</v>
      </c>
      <c r="E135" s="18" t="s">
        <v>353</v>
      </c>
      <c r="F135" s="18" t="s">
        <v>67</v>
      </c>
      <c r="G135" s="18" t="n">
        <f aca="false">VLOOKUP(B135,[9]Staff!B$7:H$245,7,0)</f>
        <v>16020</v>
      </c>
      <c r="H135" s="18" t="n">
        <f aca="false">VLOOKUP(B135,[9]Staff!B$7:P$245,15,0)</f>
        <v>16020</v>
      </c>
      <c r="I135" s="21" t="str">
        <f aca="false">VLOOKUP(B135,[2]sales!$B$2:$G$183,6,0)</f>
        <v>Tamilnadu</v>
      </c>
      <c r="J135" s="22" t="s">
        <v>39</v>
      </c>
      <c r="K135" s="23" t="s">
        <v>10</v>
      </c>
      <c r="L135" s="24" t="n">
        <f aca="false">IF(H135&gt;23335,0,(H135*90%*4.75%))</f>
        <v>684.855</v>
      </c>
      <c r="M135" s="24" t="n">
        <f aca="false">IF(H135*60%*12%&gt;1800,1974,(H135*60%*13.16%))</f>
        <v>1264.9392</v>
      </c>
      <c r="N135" s="25" t="n">
        <f aca="false">H135+L135+M135</f>
        <v>17969.7942</v>
      </c>
    </row>
    <row r="136" customFormat="false" ht="17.25" hidden="false" customHeight="true" outlineLevel="0" collapsed="false">
      <c r="A136" s="18" t="n">
        <v>135</v>
      </c>
      <c r="B136" s="18" t="n">
        <v>3812</v>
      </c>
      <c r="C136" s="20" t="s">
        <v>354</v>
      </c>
      <c r="D136" s="20" t="s">
        <v>128</v>
      </c>
      <c r="E136" s="18" t="s">
        <v>355</v>
      </c>
      <c r="F136" s="18" t="s">
        <v>109</v>
      </c>
      <c r="G136" s="18" t="n">
        <f aca="false">VLOOKUP(B136,'[3]april (2)'!B$8:H$132,7,0)</f>
        <v>12500</v>
      </c>
      <c r="H136" s="18" t="n">
        <f aca="false">VLOOKUP(B136,'[3]april (2)'!B$8:N$132,13,0)</f>
        <v>12500</v>
      </c>
      <c r="I136" s="22" t="s">
        <v>76</v>
      </c>
      <c r="J136" s="22" t="s">
        <v>76</v>
      </c>
      <c r="K136" s="23" t="s">
        <v>3</v>
      </c>
      <c r="L136" s="24" t="n">
        <f aca="false">IF(H136&gt;23335,0,(H136*90%*4.75%))</f>
        <v>534.375</v>
      </c>
      <c r="M136" s="24" t="n">
        <f aca="false">IF(H136*60%*12%&gt;1800,1974,(H136*60%*13.16%))</f>
        <v>987</v>
      </c>
      <c r="N136" s="25" t="n">
        <f aca="false">H136+L136+M136</f>
        <v>14021.375</v>
      </c>
    </row>
    <row r="137" customFormat="false" ht="17.25" hidden="false" customHeight="true" outlineLevel="0" collapsed="false">
      <c r="A137" s="19" t="n">
        <v>136</v>
      </c>
      <c r="B137" s="18" t="n">
        <v>3813</v>
      </c>
      <c r="C137" s="20" t="s">
        <v>356</v>
      </c>
      <c r="D137" s="20" t="s">
        <v>254</v>
      </c>
      <c r="E137" s="18" t="s">
        <v>357</v>
      </c>
      <c r="F137" s="18" t="s">
        <v>109</v>
      </c>
      <c r="G137" s="18" t="n">
        <f aca="false">VLOOKUP(B137,'[3]april (2)'!B$8:H$132,7,0)</f>
        <v>13500</v>
      </c>
      <c r="H137" s="18" t="n">
        <f aca="false">VLOOKUP(B137,'[3]april (2)'!B$8:N$132,13,0)</f>
        <v>13500</v>
      </c>
      <c r="I137" s="22" t="s">
        <v>76</v>
      </c>
      <c r="J137" s="22" t="s">
        <v>76</v>
      </c>
      <c r="K137" s="23" t="s">
        <v>3</v>
      </c>
      <c r="L137" s="24" t="n">
        <f aca="false">IF(H137&gt;23335,0,(H137*90%*4.75%))</f>
        <v>577.125</v>
      </c>
      <c r="M137" s="24" t="n">
        <f aca="false">IF(H137*60%*12%&gt;1800,1974,(H137*60%*13.16%))</f>
        <v>1065.96</v>
      </c>
      <c r="N137" s="25" t="n">
        <f aca="false">H137+L137+M137</f>
        <v>15143.085</v>
      </c>
    </row>
    <row r="138" customFormat="false" ht="32.25" hidden="false" customHeight="true" outlineLevel="0" collapsed="false">
      <c r="A138" s="18" t="n">
        <v>137</v>
      </c>
      <c r="B138" s="19" t="n">
        <v>3815</v>
      </c>
      <c r="C138" s="20" t="s">
        <v>358</v>
      </c>
      <c r="D138" s="37" t="s">
        <v>359</v>
      </c>
      <c r="E138" s="18" t="s">
        <v>357</v>
      </c>
      <c r="F138" s="18" t="s">
        <v>109</v>
      </c>
      <c r="G138" s="18" t="n">
        <f aca="false">VLOOKUP(B138,'[3]april (2)'!B$8:H$132,7,0)</f>
        <v>12475</v>
      </c>
      <c r="H138" s="18" t="n">
        <f aca="false">VLOOKUP(B138,'[3]april (2)'!B$8:N$132,13,0)</f>
        <v>12475</v>
      </c>
      <c r="I138" s="22" t="s">
        <v>76</v>
      </c>
      <c r="J138" s="22" t="s">
        <v>76</v>
      </c>
      <c r="K138" s="23" t="s">
        <v>3</v>
      </c>
      <c r="L138" s="24" t="n">
        <f aca="false">IF(H138&gt;23335,0,(H138*90%*4.75%))</f>
        <v>533.30625</v>
      </c>
      <c r="M138" s="24" t="n">
        <f aca="false">IF(H138*60%*12%&gt;1800,1974,(H138*60%*13.16%))</f>
        <v>985.026</v>
      </c>
      <c r="N138" s="25" t="n">
        <f aca="false">H138+L138+M138</f>
        <v>13993.33225</v>
      </c>
    </row>
    <row r="139" customFormat="false" ht="17.25" hidden="false" customHeight="true" outlineLevel="0" collapsed="false">
      <c r="A139" s="19" t="n">
        <v>138</v>
      </c>
      <c r="B139" s="19" t="n">
        <v>3843</v>
      </c>
      <c r="C139" s="20" t="s">
        <v>360</v>
      </c>
      <c r="D139" s="20" t="str">
        <f aca="false">VLOOKUP(B139,[2]sales!$B$2:$D$183,3,0)</f>
        <v>Area Sales Manager</v>
      </c>
      <c r="E139" s="18" t="s">
        <v>361</v>
      </c>
      <c r="F139" s="18" t="s">
        <v>64</v>
      </c>
      <c r="G139" s="18" t="n">
        <f aca="false">VLOOKUP(B139,'[7]Mumbai-Apr''18'!B$5:H$26,7,0)</f>
        <v>46850</v>
      </c>
      <c r="H139" s="18" t="n">
        <f aca="false">VLOOKUP(B139,'[7]Mumbai-Apr''18'!B$5:M$26,12,0)</f>
        <v>46850</v>
      </c>
      <c r="I139" s="21" t="str">
        <f aca="false">VLOOKUP(B139,[2]sales!$B$2:$G$183,6,0)</f>
        <v>West</v>
      </c>
      <c r="J139" s="22" t="s">
        <v>9</v>
      </c>
      <c r="K139" s="23" t="s">
        <v>9</v>
      </c>
      <c r="L139" s="25" t="n">
        <f aca="false">IF(H139&gt;21000,0,(H139*4.75%))</f>
        <v>0</v>
      </c>
      <c r="M139" s="25" t="n">
        <f aca="false">IF(H139*70%*12%&gt;1800,1974,(H139*70%*12%))</f>
        <v>1974</v>
      </c>
      <c r="N139" s="25" t="n">
        <f aca="false">H139+L139+M139</f>
        <v>48824</v>
      </c>
    </row>
    <row r="140" customFormat="false" ht="17.25" hidden="false" customHeight="true" outlineLevel="0" collapsed="false">
      <c r="A140" s="18" t="n">
        <v>139</v>
      </c>
      <c r="B140" s="19" t="n">
        <v>3844</v>
      </c>
      <c r="C140" s="20" t="s">
        <v>362</v>
      </c>
      <c r="D140" s="20" t="str">
        <f aca="false">VLOOKUP(B140,[2]sales!$B$2:$D$183,3,0)</f>
        <v>Territory Sales Executive</v>
      </c>
      <c r="E140" s="18" t="s">
        <v>363</v>
      </c>
      <c r="F140" s="18" t="s">
        <v>67</v>
      </c>
      <c r="G140" s="18" t="n">
        <f aca="false">VLOOKUP(B140,'[7]Mumbai-Apr''18'!B$5:H$26,7,0)</f>
        <v>21980</v>
      </c>
      <c r="H140" s="18" t="n">
        <f aca="false">VLOOKUP(B140,'[7]Mumbai-Apr''18'!B$5:M$26,12,0)</f>
        <v>21980</v>
      </c>
      <c r="I140" s="21" t="str">
        <f aca="false">VLOOKUP(B140,[2]sales!$B$2:$G$183,6,0)</f>
        <v>West</v>
      </c>
      <c r="J140" s="22" t="s">
        <v>9</v>
      </c>
      <c r="K140" s="23" t="s">
        <v>9</v>
      </c>
      <c r="L140" s="25" t="n">
        <f aca="false">IF(H140&gt;21000,0,(H140*4.75%))</f>
        <v>0</v>
      </c>
      <c r="M140" s="25" t="n">
        <f aca="false">IF(H140*70%*12%&gt;1800,1974,(H140*70%*12%))</f>
        <v>1974</v>
      </c>
      <c r="N140" s="25" t="n">
        <f aca="false">H140+L140+M140</f>
        <v>23954</v>
      </c>
    </row>
    <row r="141" customFormat="false" ht="17.25" hidden="false" customHeight="true" outlineLevel="0" collapsed="false">
      <c r="A141" s="19" t="n">
        <v>140</v>
      </c>
      <c r="B141" s="19" t="n">
        <v>3845</v>
      </c>
      <c r="C141" s="20" t="s">
        <v>364</v>
      </c>
      <c r="D141" s="20" t="str">
        <f aca="false">VLOOKUP(B141,[2]sales!$B$2:$D$183,3,0)</f>
        <v>Sr. Territory Sales Executive</v>
      </c>
      <c r="E141" s="18" t="s">
        <v>365</v>
      </c>
      <c r="F141" s="18" t="s">
        <v>79</v>
      </c>
      <c r="G141" s="18" t="n">
        <f aca="false">VLOOKUP(B141,'[7]Mumbai-Apr''18'!B$5:H$26,7,0)</f>
        <v>26790</v>
      </c>
      <c r="H141" s="18" t="n">
        <f aca="false">VLOOKUP(B141,'[7]Mumbai-Apr''18'!B$5:M$26,12,0)</f>
        <v>26790</v>
      </c>
      <c r="I141" s="21" t="str">
        <f aca="false">VLOOKUP(B141,[2]sales!$B$2:$G$183,6,0)</f>
        <v>West</v>
      </c>
      <c r="J141" s="22" t="s">
        <v>9</v>
      </c>
      <c r="K141" s="23" t="s">
        <v>9</v>
      </c>
      <c r="L141" s="25" t="n">
        <f aca="false">IF(H141&gt;21000,0,(H141*4.75%))</f>
        <v>0</v>
      </c>
      <c r="M141" s="25" t="n">
        <f aca="false">IF(H141*70%*12%&gt;1800,1974,(H141*70%*12%))</f>
        <v>1974</v>
      </c>
      <c r="N141" s="25" t="n">
        <f aca="false">H141+L141+M141</f>
        <v>28764</v>
      </c>
    </row>
    <row r="142" customFormat="false" ht="17.25" hidden="false" customHeight="true" outlineLevel="0" collapsed="false">
      <c r="A142" s="18" t="n">
        <v>141</v>
      </c>
      <c r="B142" s="19" t="n">
        <v>3853</v>
      </c>
      <c r="C142" s="20" t="s">
        <v>366</v>
      </c>
      <c r="D142" s="20" t="str">
        <f aca="false">VLOOKUP(B142,[2]sales!$B$2:$D$183,3,0)</f>
        <v>Regional Sales Manager</v>
      </c>
      <c r="E142" s="18" t="s">
        <v>367</v>
      </c>
      <c r="F142" s="18" t="s">
        <v>146</v>
      </c>
      <c r="G142" s="18" t="n">
        <f aca="false">VLOOKUP(B142,'[7]Mumbai-Apr''18'!B$5:H$26,7,0)</f>
        <v>130000</v>
      </c>
      <c r="H142" s="18" t="n">
        <f aca="false">VLOOKUP(B142,'[7]Mumbai-Apr''18'!B$5:M$26,12,0)</f>
        <v>130000</v>
      </c>
      <c r="I142" s="21" t="str">
        <f aca="false">VLOOKUP(B142,[2]sales!$B$2:$G$183,6,0)</f>
        <v>West</v>
      </c>
      <c r="J142" s="22" t="s">
        <v>9</v>
      </c>
      <c r="K142" s="23" t="s">
        <v>9</v>
      </c>
      <c r="L142" s="25" t="n">
        <f aca="false">IF(H142&gt;21000,0,(H142*4.75%))</f>
        <v>0</v>
      </c>
      <c r="M142" s="25" t="n">
        <f aca="false">IF(H142*70%*12%&gt;1800,1974,(H142*70%*12%))</f>
        <v>1974</v>
      </c>
      <c r="N142" s="25" t="n">
        <f aca="false">H142+L142+M142</f>
        <v>131974</v>
      </c>
    </row>
    <row r="143" customFormat="false" ht="17.25" hidden="false" customHeight="true" outlineLevel="0" collapsed="false">
      <c r="A143" s="19" t="n">
        <v>142</v>
      </c>
      <c r="B143" s="19" t="n">
        <v>3856</v>
      </c>
      <c r="C143" s="20" t="s">
        <v>368</v>
      </c>
      <c r="D143" s="20" t="str">
        <f aca="false">VLOOKUP(B143,[2]sales!$B$2:$D$183,3,0)</f>
        <v>Territory Sales Executive</v>
      </c>
      <c r="E143" s="18" t="s">
        <v>369</v>
      </c>
      <c r="F143" s="18" t="s">
        <v>67</v>
      </c>
      <c r="G143" s="18" t="n">
        <f aca="false">VLOOKUP(B143,'[7]Mumbai-Apr''18'!B$5:H$26,7,0)</f>
        <v>22910</v>
      </c>
      <c r="H143" s="18" t="n">
        <f aca="false">VLOOKUP(B143,'[7]Mumbai-Apr''18'!B$5:M$26,12,0)</f>
        <v>22910</v>
      </c>
      <c r="I143" s="21" t="str">
        <f aca="false">VLOOKUP(B143,[2]sales!$B$2:$G$183,6,0)</f>
        <v>West</v>
      </c>
      <c r="J143" s="22" t="s">
        <v>9</v>
      </c>
      <c r="K143" s="23" t="s">
        <v>9</v>
      </c>
      <c r="L143" s="25" t="n">
        <f aca="false">IF(H143&gt;21000,0,(H143*4.75%))</f>
        <v>0</v>
      </c>
      <c r="M143" s="25" t="n">
        <f aca="false">IF(H143*70%*12%&gt;1800,1974,(H143*70%*12%))</f>
        <v>1974</v>
      </c>
      <c r="N143" s="25" t="n">
        <f aca="false">H143+L143+M143</f>
        <v>24884</v>
      </c>
    </row>
    <row r="144" customFormat="false" ht="17.25" hidden="false" customHeight="true" outlineLevel="0" collapsed="false">
      <c r="A144" s="18" t="n">
        <v>143</v>
      </c>
      <c r="B144" s="18" t="n">
        <v>3875</v>
      </c>
      <c r="C144" s="20" t="s">
        <v>370</v>
      </c>
      <c r="D144" s="20" t="str">
        <f aca="false">VLOOKUP(B144,[2]sales!$B$2:$D$183,3,0)</f>
        <v>Territory Sales Executive</v>
      </c>
      <c r="E144" s="18" t="s">
        <v>371</v>
      </c>
      <c r="F144" s="18" t="s">
        <v>67</v>
      </c>
      <c r="G144" s="18" t="n">
        <f aca="false">VLOOKUP(B144,[9]Staff!B$7:H$245,7,0)</f>
        <v>19020</v>
      </c>
      <c r="H144" s="18" t="n">
        <f aca="false">VLOOKUP(B144,[9]Staff!B$7:P$245,15,0)</f>
        <v>19020</v>
      </c>
      <c r="I144" s="21" t="str">
        <f aca="false">VLOOKUP(B144,[2]sales!$B$2:$G$183,6,0)</f>
        <v>Tamilnadu</v>
      </c>
      <c r="J144" s="22" t="s">
        <v>39</v>
      </c>
      <c r="K144" s="23" t="s">
        <v>10</v>
      </c>
      <c r="L144" s="24" t="n">
        <f aca="false">IF(H144&gt;23335,0,(H144*90%*4.75%))</f>
        <v>813.105</v>
      </c>
      <c r="M144" s="24" t="n">
        <f aca="false">IF(H144*60%*12%&gt;1800,1974,(H144*60%*13.16%))</f>
        <v>1501.8192</v>
      </c>
      <c r="N144" s="25" t="n">
        <f aca="false">H144+L144+M144</f>
        <v>21334.9242</v>
      </c>
    </row>
    <row r="145" customFormat="false" ht="24" hidden="false" customHeight="true" outlineLevel="0" collapsed="false">
      <c r="A145" s="19" t="n">
        <v>144</v>
      </c>
      <c r="B145" s="18" t="n">
        <v>3877</v>
      </c>
      <c r="C145" s="20" t="s">
        <v>372</v>
      </c>
      <c r="D145" s="20" t="str">
        <f aca="false">VLOOKUP(B145,[2]sales!$B$2:$D$183,3,0)</f>
        <v>Territory Sales Executive</v>
      </c>
      <c r="E145" s="18" t="s">
        <v>373</v>
      </c>
      <c r="F145" s="18" t="s">
        <v>67</v>
      </c>
      <c r="G145" s="18" t="n">
        <f aca="false">VLOOKUP(B145,[9]Staff!B$7:H$245,7,0)</f>
        <v>19000</v>
      </c>
      <c r="H145" s="18" t="n">
        <f aca="false">VLOOKUP(B145,[9]Staff!B$7:P$245,15,0)</f>
        <v>19000</v>
      </c>
      <c r="I145" s="21" t="str">
        <f aca="false">VLOOKUP(B145,[2]sales!$B$2:$G$183,6,0)</f>
        <v>CPD South</v>
      </c>
      <c r="J145" s="22" t="s">
        <v>76</v>
      </c>
      <c r="K145" s="23" t="s">
        <v>10</v>
      </c>
      <c r="L145" s="24" t="n">
        <f aca="false">IF(H145&gt;23335,0,(H145*90%*4.75%))</f>
        <v>812.25</v>
      </c>
      <c r="M145" s="24" t="n">
        <f aca="false">IF(H145*60%*12%&gt;1800,1974,(H145*60%*13.16%))</f>
        <v>1500.24</v>
      </c>
      <c r="N145" s="25" t="n">
        <f aca="false">H145+L145+M145</f>
        <v>21312.49</v>
      </c>
    </row>
    <row r="146" customFormat="false" ht="17.25" hidden="false" customHeight="true" outlineLevel="0" collapsed="false">
      <c r="A146" s="18" t="n">
        <v>145</v>
      </c>
      <c r="B146" s="18" t="n">
        <v>3889</v>
      </c>
      <c r="C146" s="35" t="s">
        <v>374</v>
      </c>
      <c r="D146" s="20" t="str">
        <f aca="false">VLOOKUP(B146,[2]sales!$B$2:$D$183,3,0)</f>
        <v>Territory Sales Executive</v>
      </c>
      <c r="E146" s="18" t="s">
        <v>375</v>
      </c>
      <c r="F146" s="18" t="s">
        <v>79</v>
      </c>
      <c r="G146" s="18" t="n">
        <f aca="false">VLOOKUP(B146,'[7]Mumbai-Apr''18'!B$5:H$26,7,0)</f>
        <v>18530</v>
      </c>
      <c r="H146" s="18" t="n">
        <f aca="false">VLOOKUP(B146,'[7]Mumbai-Apr''18'!B$5:M$26,12,0)</f>
        <v>18530</v>
      </c>
      <c r="I146" s="21" t="str">
        <f aca="false">VLOOKUP(B146,[2]sales!$B$2:$G$183,6,0)</f>
        <v>West</v>
      </c>
      <c r="J146" s="22" t="s">
        <v>9</v>
      </c>
      <c r="K146" s="23" t="s">
        <v>9</v>
      </c>
      <c r="L146" s="25" t="n">
        <f aca="false">IF(H146&gt;21000,0,(H146*4.75%))</f>
        <v>880.175</v>
      </c>
      <c r="M146" s="25" t="n">
        <f aca="false">IF(H146*70%*12%&gt;1800,1974,(H146*70%*12%))</f>
        <v>1556.52</v>
      </c>
      <c r="N146" s="25" t="n">
        <f aca="false">H146+L146+M146</f>
        <v>20966.695</v>
      </c>
    </row>
    <row r="147" customFormat="false" ht="17.25" hidden="false" customHeight="true" outlineLevel="0" collapsed="false">
      <c r="A147" s="19" t="n">
        <v>146</v>
      </c>
      <c r="B147" s="18" t="n">
        <v>3904</v>
      </c>
      <c r="C147" s="35" t="s">
        <v>376</v>
      </c>
      <c r="D147" s="35" t="s">
        <v>128</v>
      </c>
      <c r="E147" s="18" t="s">
        <v>377</v>
      </c>
      <c r="F147" s="18" t="s">
        <v>109</v>
      </c>
      <c r="G147" s="18" t="n">
        <f aca="false">VLOOKUP(B147,'[3]april (2)'!B$8:H$132,7,0)</f>
        <v>13500</v>
      </c>
      <c r="H147" s="18" t="n">
        <f aca="false">VLOOKUP(B147,'[3]april (2)'!B$8:N$132,13,0)</f>
        <v>2250</v>
      </c>
      <c r="I147" s="22" t="s">
        <v>76</v>
      </c>
      <c r="J147" s="22" t="s">
        <v>76</v>
      </c>
      <c r="K147" s="23" t="s">
        <v>3</v>
      </c>
      <c r="L147" s="24" t="n">
        <f aca="false">IF(H147&gt;23335,0,(H147*90%*4.75%))</f>
        <v>96.1875</v>
      </c>
      <c r="M147" s="24" t="n">
        <f aca="false">IF(H147*60%*12%&gt;1800,1974,(H147*60%*13.16%))</f>
        <v>177.66</v>
      </c>
      <c r="N147" s="25" t="n">
        <f aca="false">H147+L147+M147</f>
        <v>2523.8475</v>
      </c>
    </row>
    <row r="148" customFormat="false" ht="26.25" hidden="false" customHeight="true" outlineLevel="0" collapsed="false">
      <c r="A148" s="18" t="n">
        <v>147</v>
      </c>
      <c r="B148" s="18" t="n">
        <v>3911</v>
      </c>
      <c r="C148" s="35" t="s">
        <v>378</v>
      </c>
      <c r="D148" s="20" t="str">
        <f aca="false">VLOOKUP(B148,[2]sales!$B$2:$D$183,3,0)</f>
        <v>Territory Sales Executive</v>
      </c>
      <c r="E148" s="18" t="s">
        <v>379</v>
      </c>
      <c r="F148" s="18" t="s">
        <v>67</v>
      </c>
      <c r="G148" s="18" t="n">
        <f aca="false">VLOOKUP(B148,[9]Staff!B$7:H$245,7,0)</f>
        <v>15300</v>
      </c>
      <c r="H148" s="18" t="n">
        <f aca="false">VLOOKUP(B148,[9]Staff!B$7:P$245,15,0)</f>
        <v>15300</v>
      </c>
      <c r="I148" s="21" t="str">
        <f aca="false">VLOOKUP(B148,[2]sales!$B$2:$G$183,6,0)</f>
        <v>Bulk</v>
      </c>
      <c r="J148" s="22" t="s">
        <v>27</v>
      </c>
      <c r="K148" s="23" t="s">
        <v>10</v>
      </c>
      <c r="L148" s="24" t="n">
        <f aca="false">IF(H148&gt;23335,0,(H148*90%*4.75%))</f>
        <v>654.075</v>
      </c>
      <c r="M148" s="24" t="n">
        <f aca="false">IF(H148*60%*12%&gt;1800,1974,(H148*60%*13.16%))</f>
        <v>1208.088</v>
      </c>
      <c r="N148" s="25" t="n">
        <f aca="false">H148+L148+M148</f>
        <v>17162.163</v>
      </c>
    </row>
    <row r="149" customFormat="false" ht="26.25" hidden="false" customHeight="true" outlineLevel="0" collapsed="false">
      <c r="A149" s="19" t="n">
        <v>148</v>
      </c>
      <c r="B149" s="19" t="n">
        <v>3931</v>
      </c>
      <c r="C149" s="27" t="s">
        <v>380</v>
      </c>
      <c r="D149" s="35" t="s">
        <v>271</v>
      </c>
      <c r="E149" s="18" t="s">
        <v>381</v>
      </c>
      <c r="F149" s="18" t="s">
        <v>109</v>
      </c>
      <c r="G149" s="18" t="n">
        <f aca="false">VLOOKUP(B149,'[3]april (2)'!B$8:H$132,7,0)</f>
        <v>11500</v>
      </c>
      <c r="H149" s="18" t="n">
        <f aca="false">VLOOKUP(B149,'[3]april (2)'!B$8:N$132,13,0)</f>
        <v>11500</v>
      </c>
      <c r="I149" s="22" t="s">
        <v>76</v>
      </c>
      <c r="J149" s="22" t="s">
        <v>76</v>
      </c>
      <c r="K149" s="23" t="s">
        <v>3</v>
      </c>
      <c r="L149" s="24" t="n">
        <f aca="false">IF(H149&gt;23335,0,(H149*90%*4.75%))</f>
        <v>491.625</v>
      </c>
      <c r="M149" s="24" t="n">
        <f aca="false">IF(H149*60%*12%&gt;1800,1974,(H149*60%*13.16%))</f>
        <v>908.04</v>
      </c>
      <c r="N149" s="25" t="n">
        <f aca="false">H149+L149+M149</f>
        <v>12899.665</v>
      </c>
    </row>
    <row r="150" customFormat="false" ht="26.25" hidden="false" customHeight="true" outlineLevel="0" collapsed="false">
      <c r="A150" s="18" t="n">
        <v>149</v>
      </c>
      <c r="B150" s="18" t="n">
        <v>3937</v>
      </c>
      <c r="C150" s="20" t="s">
        <v>382</v>
      </c>
      <c r="D150" s="20" t="str">
        <f aca="false">VLOOKUP(B150,[2]sales!$B$2:$D$183,3,0)</f>
        <v>Manager - Sales </v>
      </c>
      <c r="E150" s="18" t="s">
        <v>383</v>
      </c>
      <c r="F150" s="18" t="s">
        <v>61</v>
      </c>
      <c r="G150" s="18" t="n">
        <v>48180</v>
      </c>
      <c r="H150" s="18" t="n">
        <v>48180</v>
      </c>
      <c r="I150" s="21" t="str">
        <f aca="false">VLOOKUP(B150,[2]sales!$B$2:$G$183,6,0)</f>
        <v>Rice</v>
      </c>
      <c r="J150" s="18" t="s">
        <v>384</v>
      </c>
      <c r="K150" s="23" t="s">
        <v>385</v>
      </c>
      <c r="L150" s="24" t="n">
        <f aca="false">IF(H150&gt;23335,0,(H150*90%*4.75%))</f>
        <v>0</v>
      </c>
      <c r="M150" s="24" t="n">
        <f aca="false">IF(H150*60%*12%&gt;1800,1974,(H150*60%*13.16%))</f>
        <v>1974</v>
      </c>
      <c r="N150" s="25" t="n">
        <f aca="false">H150+L150+M150</f>
        <v>50154</v>
      </c>
    </row>
    <row r="151" customFormat="false" ht="26.25" hidden="false" customHeight="true" outlineLevel="0" collapsed="false">
      <c r="A151" s="19" t="n">
        <v>150</v>
      </c>
      <c r="B151" s="19" t="n">
        <v>3945</v>
      </c>
      <c r="C151" s="27" t="s">
        <v>386</v>
      </c>
      <c r="D151" s="20" t="str">
        <f aca="false">VLOOKUP(B151,[2]sales!$B$2:$D$183,3,0)</f>
        <v>Territory Sales Executive</v>
      </c>
      <c r="E151" s="18" t="s">
        <v>387</v>
      </c>
      <c r="F151" s="18" t="s">
        <v>67</v>
      </c>
      <c r="G151" s="18" t="n">
        <f aca="false">VLOOKUP(B151,'[7]Mumbai-Apr''18'!B$5:H$26,7,0)</f>
        <v>21260</v>
      </c>
      <c r="H151" s="18" t="n">
        <f aca="false">VLOOKUP(B151,'[7]Mumbai-Apr''18'!B$5:M$26,12,0)</f>
        <v>21260</v>
      </c>
      <c r="I151" s="21" t="str">
        <f aca="false">VLOOKUP(B151,[2]sales!$B$2:$G$183,6,0)</f>
        <v>West</v>
      </c>
      <c r="J151" s="22" t="s">
        <v>9</v>
      </c>
      <c r="K151" s="23" t="s">
        <v>9</v>
      </c>
      <c r="L151" s="25" t="n">
        <f aca="false">IF(H151&gt;21000,0,(H151*4.75%))</f>
        <v>0</v>
      </c>
      <c r="M151" s="25" t="n">
        <f aca="false">IF(H151*70%*12%&gt;1800,1974,(H151*70%*12%))</f>
        <v>1785.84</v>
      </c>
      <c r="N151" s="25" t="n">
        <f aca="false">H151+L151+M151</f>
        <v>23045.84</v>
      </c>
    </row>
    <row r="152" customFormat="false" ht="17.25" hidden="false" customHeight="true" outlineLevel="0" collapsed="false">
      <c r="A152" s="18" t="n">
        <v>151</v>
      </c>
      <c r="B152" s="18" t="n">
        <v>3959</v>
      </c>
      <c r="C152" s="20" t="s">
        <v>388</v>
      </c>
      <c r="D152" s="20" t="s">
        <v>389</v>
      </c>
      <c r="E152" s="18" t="s">
        <v>390</v>
      </c>
      <c r="F152" s="18" t="s">
        <v>109</v>
      </c>
      <c r="G152" s="18" t="n">
        <f aca="false">VLOOKUP(B152,'[3]april (2)'!B$8:H$132,7,0)</f>
        <v>14000</v>
      </c>
      <c r="H152" s="18" t="n">
        <f aca="false">VLOOKUP(B152,'[3]april (2)'!B$8:N$132,13,0)</f>
        <v>14000</v>
      </c>
      <c r="I152" s="22" t="s">
        <v>76</v>
      </c>
      <c r="J152" s="22" t="s">
        <v>76</v>
      </c>
      <c r="K152" s="23" t="s">
        <v>3</v>
      </c>
      <c r="L152" s="24" t="n">
        <f aca="false">IF(H152&gt;23335,0,(H152*90%*4.75%))</f>
        <v>598.5</v>
      </c>
      <c r="M152" s="24" t="n">
        <f aca="false">IF(H152*60%*12%&gt;1800,1974,(H152*60%*13.16%))</f>
        <v>1105.44</v>
      </c>
      <c r="N152" s="25" t="n">
        <f aca="false">H152+L152+M152</f>
        <v>15703.94</v>
      </c>
    </row>
    <row r="153" customFormat="false" ht="17.25" hidden="false" customHeight="true" outlineLevel="0" collapsed="false">
      <c r="A153" s="19" t="n">
        <v>152</v>
      </c>
      <c r="B153" s="18" t="n">
        <v>3964</v>
      </c>
      <c r="C153" s="20" t="s">
        <v>391</v>
      </c>
      <c r="D153" s="20" t="s">
        <v>389</v>
      </c>
      <c r="E153" s="18" t="s">
        <v>392</v>
      </c>
      <c r="F153" s="18" t="s">
        <v>109</v>
      </c>
      <c r="G153" s="18" t="n">
        <f aca="false">VLOOKUP(B153,'[3]april (2)'!B$8:H$132,7,0)</f>
        <v>13500</v>
      </c>
      <c r="H153" s="18" t="n">
        <f aca="false">VLOOKUP(B153,'[3]april (2)'!B$8:N$132,13,0)</f>
        <v>13500</v>
      </c>
      <c r="I153" s="22" t="s">
        <v>76</v>
      </c>
      <c r="J153" s="22" t="s">
        <v>76</v>
      </c>
      <c r="K153" s="23" t="s">
        <v>3</v>
      </c>
      <c r="L153" s="24" t="n">
        <f aca="false">IF(H153&gt;23335,0,(H153*90%*4.75%))</f>
        <v>577.125</v>
      </c>
      <c r="M153" s="24" t="n">
        <f aca="false">IF(H153*60%*12%&gt;1800,1974,(H153*60%*13.16%))</f>
        <v>1065.96</v>
      </c>
      <c r="N153" s="25" t="n">
        <f aca="false">H153+L153+M153</f>
        <v>15143.085</v>
      </c>
    </row>
    <row r="154" customFormat="false" ht="17.25" hidden="false" customHeight="true" outlineLevel="0" collapsed="false">
      <c r="A154" s="18" t="n">
        <v>153</v>
      </c>
      <c r="B154" s="18" t="n">
        <v>3974</v>
      </c>
      <c r="C154" s="20" t="s">
        <v>393</v>
      </c>
      <c r="D154" s="20" t="s">
        <v>180</v>
      </c>
      <c r="E154" s="18" t="s">
        <v>394</v>
      </c>
      <c r="F154" s="18" t="s">
        <v>58</v>
      </c>
      <c r="G154" s="18" t="n">
        <f aca="false">VLOOKUP(B154,[9]Staff!B$7:H$245,7,0)</f>
        <v>26000</v>
      </c>
      <c r="H154" s="18" t="n">
        <f aca="false">VLOOKUP(B154,[9]Staff!B$7:P$245,15,0)</f>
        <v>26000</v>
      </c>
      <c r="I154" s="21" t="str">
        <f aca="false">VLOOKUP(B154,[2]sales!$B$2:$G$183,6,0)</f>
        <v>Tamilnadu</v>
      </c>
      <c r="J154" s="22" t="s">
        <v>33</v>
      </c>
      <c r="K154" s="23" t="s">
        <v>10</v>
      </c>
      <c r="L154" s="24" t="n">
        <f aca="false">IF(H154&gt;23335,0,(H154*90%*4.75%))</f>
        <v>0</v>
      </c>
      <c r="M154" s="24" t="n">
        <f aca="false">IF(H154*60%*12%&gt;1800,1974,(H154*60%*13.16%))</f>
        <v>1974</v>
      </c>
      <c r="N154" s="25" t="n">
        <f aca="false">H154+L154+M154</f>
        <v>27974</v>
      </c>
    </row>
    <row r="155" customFormat="false" ht="31.5" hidden="false" customHeight="true" outlineLevel="0" collapsed="false">
      <c r="A155" s="19" t="n">
        <v>154</v>
      </c>
      <c r="B155" s="18" t="n">
        <v>3991</v>
      </c>
      <c r="C155" s="20" t="s">
        <v>395</v>
      </c>
      <c r="D155" s="20" t="str">
        <f aca="false">VLOOKUP(B155,[2]sales!$B$2:$D$183,3,0)</f>
        <v>Territory Sales Executive</v>
      </c>
      <c r="E155" s="18" t="s">
        <v>396</v>
      </c>
      <c r="F155" s="18" t="s">
        <v>67</v>
      </c>
      <c r="G155" s="18" t="n">
        <f aca="false">VLOOKUP(B155,'[6]staff klmsy (2)'!$B$7:I$84,8,0)</f>
        <v>14550</v>
      </c>
      <c r="H155" s="18" t="n">
        <f aca="false">VLOOKUP(B155,'[6]staff klmsy (2)'!B$7:R$84,17,0)</f>
        <v>14550</v>
      </c>
      <c r="I155" s="21" t="str">
        <f aca="false">VLOOKUP(B155,[2]sales!$B$2:$G$183,6,0)</f>
        <v>Bakery South</v>
      </c>
      <c r="J155" s="22" t="s">
        <v>397</v>
      </c>
      <c r="K155" s="23" t="s">
        <v>8</v>
      </c>
      <c r="L155" s="24" t="n">
        <f aca="false">IF(H155&gt;23335,0,(H155*90%*4.75%))</f>
        <v>622.0125</v>
      </c>
      <c r="M155" s="24" t="n">
        <f aca="false">IF(H155*60%*12%&gt;1800,1974,(H155*60%*13.16%))</f>
        <v>1148.868</v>
      </c>
      <c r="N155" s="25" t="n">
        <f aca="false">H155+L155+M155</f>
        <v>16320.8805</v>
      </c>
    </row>
    <row r="156" customFormat="false" ht="17.25" hidden="false" customHeight="true" outlineLevel="0" collapsed="false">
      <c r="A156" s="18" t="n">
        <v>155</v>
      </c>
      <c r="B156" s="18" t="n">
        <v>3992</v>
      </c>
      <c r="C156" s="20" t="s">
        <v>398</v>
      </c>
      <c r="D156" s="20" t="s">
        <v>271</v>
      </c>
      <c r="E156" s="18" t="s">
        <v>399</v>
      </c>
      <c r="F156" s="18" t="s">
        <v>338</v>
      </c>
      <c r="G156" s="18" t="n">
        <f aca="false">VLOOKUP(B156,[9]Staff!B$7:H$245,7,0)</f>
        <v>13000</v>
      </c>
      <c r="H156" s="18" t="n">
        <f aca="false">VLOOKUP(B156,[9]Staff!B$7:P$245,15,0)</f>
        <v>13000</v>
      </c>
      <c r="I156" s="22" t="s">
        <v>76</v>
      </c>
      <c r="J156" s="22" t="s">
        <v>76</v>
      </c>
      <c r="K156" s="23" t="s">
        <v>10</v>
      </c>
      <c r="L156" s="24" t="n">
        <f aca="false">IF(H156&gt;23335,0,(H156*90%*4.75%))</f>
        <v>555.75</v>
      </c>
      <c r="M156" s="24" t="n">
        <f aca="false">IF(H156*60%*12%&gt;1800,1974,(H156*60%*13.16%))</f>
        <v>1026.48</v>
      </c>
      <c r="N156" s="25" t="n">
        <f aca="false">H156+L156+M156</f>
        <v>14582.23</v>
      </c>
    </row>
    <row r="157" customFormat="false" ht="31.5" hidden="false" customHeight="true" outlineLevel="0" collapsed="false">
      <c r="A157" s="19" t="n">
        <v>156</v>
      </c>
      <c r="B157" s="18" t="n">
        <v>3995</v>
      </c>
      <c r="C157" s="20" t="s">
        <v>400</v>
      </c>
      <c r="D157" s="20" t="str">
        <f aca="false">VLOOKUP(B157,[2]sales!$B$2:$D$183,3,0)</f>
        <v>Territory Sales Executive</v>
      </c>
      <c r="E157" s="18" t="s">
        <v>401</v>
      </c>
      <c r="F157" s="18" t="s">
        <v>67</v>
      </c>
      <c r="G157" s="18" t="n">
        <f aca="false">VLOOKUP(B157,'[6]staff klmsy (2)'!$B$7:I$84,8,0)</f>
        <v>13430</v>
      </c>
      <c r="H157" s="18" t="n">
        <f aca="false">VLOOKUP(B157,'[6]staff klmsy (2)'!B$7:R$84,17,0)</f>
        <v>13430</v>
      </c>
      <c r="I157" s="21" t="str">
        <f aca="false">VLOOKUP(B157,[2]sales!$B$2:$G$183,6,0)</f>
        <v>Bakery South</v>
      </c>
      <c r="J157" s="22" t="s">
        <v>328</v>
      </c>
      <c r="K157" s="23" t="s">
        <v>8</v>
      </c>
      <c r="L157" s="24" t="n">
        <f aca="false">IF(H157&gt;23335,0,(H157*90%*4.75%))</f>
        <v>574.1325</v>
      </c>
      <c r="M157" s="24" t="n">
        <f aca="false">IF(H157*60%*12%&gt;1800,1974,(H157*60%*13.16%))</f>
        <v>1060.4328</v>
      </c>
      <c r="N157" s="25" t="n">
        <f aca="false">H157+L157+M157</f>
        <v>15064.5653</v>
      </c>
    </row>
    <row r="158" customFormat="false" ht="31.5" hidden="false" customHeight="true" outlineLevel="0" collapsed="false">
      <c r="A158" s="18" t="n">
        <v>157</v>
      </c>
      <c r="B158" s="18" t="n">
        <v>4008</v>
      </c>
      <c r="C158" s="32" t="s">
        <v>402</v>
      </c>
      <c r="D158" s="20" t="str">
        <f aca="false">VLOOKUP(B158,[2]sales!$B$2:$D$183,3,0)</f>
        <v>Territory Sales Executive</v>
      </c>
      <c r="E158" s="18" t="s">
        <v>403</v>
      </c>
      <c r="F158" s="18" t="s">
        <v>67</v>
      </c>
      <c r="G158" s="18" t="n">
        <f aca="false">VLOOKUP(B158,'[6]staff klmsy (2)'!$B$7:I$84,8,0)</f>
        <v>13880</v>
      </c>
      <c r="H158" s="18" t="n">
        <f aca="false">VLOOKUP(B158,'[6]staff klmsy (2)'!B$7:R$84,17,0)</f>
        <v>5552</v>
      </c>
      <c r="I158" s="21" t="str">
        <f aca="false">VLOOKUP(B158,[2]sales!$B$2:$G$183,6,0)</f>
        <v>Bakery North</v>
      </c>
      <c r="J158" s="20" t="s">
        <v>300</v>
      </c>
      <c r="K158" s="23" t="s">
        <v>8</v>
      </c>
      <c r="L158" s="24" t="n">
        <f aca="false">IF(H158&gt;23335,0,(H158*90%*4.75%))</f>
        <v>237.348</v>
      </c>
      <c r="M158" s="24" t="n">
        <f aca="false">IF(H158*60%*12%&gt;1800,1974,(H158*60%*13.16%))</f>
        <v>438.38592</v>
      </c>
      <c r="N158" s="25" t="n">
        <f aca="false">H158+L158+M158</f>
        <v>6227.73392</v>
      </c>
    </row>
    <row r="159" customFormat="false" ht="17.25" hidden="false" customHeight="true" outlineLevel="0" collapsed="false">
      <c r="A159" s="19" t="n">
        <v>158</v>
      </c>
      <c r="B159" s="18" t="n">
        <v>4010</v>
      </c>
      <c r="C159" s="35" t="s">
        <v>404</v>
      </c>
      <c r="D159" s="20" t="str">
        <f aca="false">VLOOKUP(B159,[2]sales!$B$2:$D$183,3,0)</f>
        <v>Territory Sales Executive</v>
      </c>
      <c r="E159" s="18" t="s">
        <v>405</v>
      </c>
      <c r="F159" s="18" t="s">
        <v>67</v>
      </c>
      <c r="G159" s="18" t="n">
        <f aca="false">VLOOKUP(B159,[9]Staff!B$7:H$245,7,0)</f>
        <v>18020</v>
      </c>
      <c r="H159" s="18" t="n">
        <f aca="false">VLOOKUP(B159,[9]Staff!B$7:P$245,15,0)</f>
        <v>18020</v>
      </c>
      <c r="I159" s="21" t="str">
        <f aca="false">VLOOKUP(B159,[2]sales!$B$2:$G$183,6,0)</f>
        <v>CPD South</v>
      </c>
      <c r="J159" s="22" t="s">
        <v>76</v>
      </c>
      <c r="K159" s="23" t="s">
        <v>10</v>
      </c>
      <c r="L159" s="24" t="n">
        <f aca="false">IF(H159&gt;23335,0,(H159*90%*4.75%))</f>
        <v>770.355</v>
      </c>
      <c r="M159" s="24" t="n">
        <f aca="false">IF(H159*60%*12%&gt;1800,1974,(H159*60%*13.16%))</f>
        <v>1422.8592</v>
      </c>
      <c r="N159" s="25" t="n">
        <f aca="false">H159+L159+M159</f>
        <v>20213.2142</v>
      </c>
    </row>
    <row r="160" customFormat="false" ht="17.25" hidden="false" customHeight="true" outlineLevel="0" collapsed="false">
      <c r="A160" s="18" t="n">
        <v>159</v>
      </c>
      <c r="B160" s="18" t="n">
        <v>4040</v>
      </c>
      <c r="C160" s="35" t="s">
        <v>406</v>
      </c>
      <c r="D160" s="20" t="str">
        <f aca="false">VLOOKUP(B160,[2]sales!$B$2:$D$183,3,0)</f>
        <v>Territory Sales Executive</v>
      </c>
      <c r="E160" s="18" t="s">
        <v>407</v>
      </c>
      <c r="F160" s="18" t="s">
        <v>67</v>
      </c>
      <c r="G160" s="18" t="n">
        <f aca="false">VLOOKUP(B160,[9]Staff!B$7:H$245,7,0)</f>
        <v>15000</v>
      </c>
      <c r="H160" s="18" t="n">
        <f aca="false">VLOOKUP(B160,[9]Staff!B$7:P$245,15,0)</f>
        <v>15000</v>
      </c>
      <c r="I160" s="21" t="str">
        <f aca="false">VLOOKUP(B160,[2]sales!$B$2:$G$183,6,0)</f>
        <v>CPD North</v>
      </c>
      <c r="J160" s="21" t="s">
        <v>242</v>
      </c>
      <c r="K160" s="23" t="s">
        <v>10</v>
      </c>
      <c r="L160" s="24" t="n">
        <f aca="false">IF(H160&gt;23335,0,(H160*90%*4.75%))</f>
        <v>641.25</v>
      </c>
      <c r="M160" s="24" t="n">
        <f aca="false">IF(H160*60%*12%&gt;1800,1974,(H160*60%*13.16%))</f>
        <v>1184.4</v>
      </c>
      <c r="N160" s="25" t="n">
        <f aca="false">H160+L160+M160</f>
        <v>16825.65</v>
      </c>
    </row>
    <row r="161" customFormat="false" ht="17.25" hidden="false" customHeight="true" outlineLevel="0" collapsed="false">
      <c r="A161" s="19" t="n">
        <v>160</v>
      </c>
      <c r="B161" s="18" t="n">
        <v>4046</v>
      </c>
      <c r="C161" s="35" t="s">
        <v>408</v>
      </c>
      <c r="D161" s="20" t="str">
        <f aca="false">VLOOKUP(B161,[2]sales!$B$2:$D$183,3,0)</f>
        <v>Area Sales Manager</v>
      </c>
      <c r="E161" s="18" t="s">
        <v>409</v>
      </c>
      <c r="F161" s="18" t="s">
        <v>64</v>
      </c>
      <c r="G161" s="18" t="n">
        <f aca="false">VLOOKUP(B161,'[7]Mumbai-Apr''18'!B$5:H$26,7,0)</f>
        <v>42000</v>
      </c>
      <c r="H161" s="18" t="n">
        <f aca="false">VLOOKUP(B161,'[7]Mumbai-Apr''18'!B$5:M$26,12,0)</f>
        <v>42000</v>
      </c>
      <c r="I161" s="21" t="str">
        <f aca="false">VLOOKUP(B161,[2]sales!$B$2:$G$183,6,0)</f>
        <v>West</v>
      </c>
      <c r="J161" s="22" t="s">
        <v>9</v>
      </c>
      <c r="K161" s="23" t="s">
        <v>9</v>
      </c>
      <c r="L161" s="25" t="n">
        <f aca="false">IF(H161&gt;21000,0,(H161*4.75%))</f>
        <v>0</v>
      </c>
      <c r="M161" s="25" t="n">
        <f aca="false">IF(H161*70%*12%&gt;1800,1974,(H161*70%*12%))</f>
        <v>1974</v>
      </c>
      <c r="N161" s="25" t="n">
        <f aca="false">H161+L161+M161</f>
        <v>43974</v>
      </c>
    </row>
    <row r="162" customFormat="false" ht="17.25" hidden="false" customHeight="true" outlineLevel="0" collapsed="false">
      <c r="A162" s="18" t="n">
        <v>161</v>
      </c>
      <c r="B162" s="19" t="n">
        <v>4047</v>
      </c>
      <c r="C162" s="20" t="s">
        <v>410</v>
      </c>
      <c r="D162" s="20" t="str">
        <f aca="false">VLOOKUP(B162,[2]sales!$B$2:$D$183,3,0)</f>
        <v>Territory Sales Executive</v>
      </c>
      <c r="E162" s="18" t="s">
        <v>411</v>
      </c>
      <c r="F162" s="18" t="s">
        <v>67</v>
      </c>
      <c r="G162" s="18" t="n">
        <f aca="false">VLOOKUP(B162,[9]Staff!B$7:H$245,7,0)</f>
        <v>13750</v>
      </c>
      <c r="H162" s="18" t="n">
        <f aca="false">VLOOKUP(B162,[9]Staff!B$7:P$245,15,0)</f>
        <v>13750</v>
      </c>
      <c r="I162" s="21" t="str">
        <f aca="false">VLOOKUP(B162,[2]sales!$B$2:$G$183,6,0)</f>
        <v>Institution Sales</v>
      </c>
      <c r="J162" s="22" t="s">
        <v>25</v>
      </c>
      <c r="K162" s="23" t="s">
        <v>10</v>
      </c>
      <c r="L162" s="24" t="n">
        <f aca="false">IF(H162&gt;23335,0,(H162*90%*4.75%))</f>
        <v>587.8125</v>
      </c>
      <c r="M162" s="24" t="n">
        <f aca="false">IF(H162*60%*12%&gt;1800,1974,(H162*60%*13.16%))</f>
        <v>1085.7</v>
      </c>
      <c r="N162" s="25" t="n">
        <f aca="false">H162+L162+M162</f>
        <v>15423.5125</v>
      </c>
    </row>
    <row r="163" customFormat="false" ht="17.25" hidden="false" customHeight="true" outlineLevel="0" collapsed="false">
      <c r="A163" s="19" t="n">
        <v>162</v>
      </c>
      <c r="B163" s="19" t="n">
        <v>4052</v>
      </c>
      <c r="C163" s="27" t="s">
        <v>412</v>
      </c>
      <c r="D163" s="20" t="s">
        <v>135</v>
      </c>
      <c r="E163" s="18" t="s">
        <v>413</v>
      </c>
      <c r="F163" s="18" t="s">
        <v>109</v>
      </c>
      <c r="G163" s="18" t="n">
        <f aca="false">VLOOKUP(B163,[9]Staff!B$7:H$245,7,0)</f>
        <v>9500</v>
      </c>
      <c r="H163" s="18" t="n">
        <f aca="false">VLOOKUP(B163,[9]Staff!B$7:P$245,15,0)</f>
        <v>9500</v>
      </c>
      <c r="I163" s="22" t="s">
        <v>110</v>
      </c>
      <c r="J163" s="22" t="s">
        <v>110</v>
      </c>
      <c r="K163" s="23" t="s">
        <v>10</v>
      </c>
      <c r="L163" s="24" t="n">
        <f aca="false">IF(H163&gt;23335,0,(H163*90%*4.75%))</f>
        <v>406.125</v>
      </c>
      <c r="M163" s="24" t="n">
        <f aca="false">IF(H163*60%*12%&gt;1800,1974,(H163*60%*13.16%))</f>
        <v>750.12</v>
      </c>
      <c r="N163" s="25" t="n">
        <f aca="false">H163+L163+M163</f>
        <v>10656.245</v>
      </c>
    </row>
    <row r="164" customFormat="false" ht="17.25" hidden="false" customHeight="true" outlineLevel="0" collapsed="false">
      <c r="A164" s="18" t="n">
        <v>163</v>
      </c>
      <c r="B164" s="19" t="n">
        <v>4056</v>
      </c>
      <c r="C164" s="27" t="s">
        <v>414</v>
      </c>
      <c r="D164" s="20" t="str">
        <f aca="false">VLOOKUP(B164,[2]sales!$B$2:$D$183,3,0)</f>
        <v>Territory Sales Executive</v>
      </c>
      <c r="E164" s="18" t="s">
        <v>415</v>
      </c>
      <c r="F164" s="18" t="s">
        <v>67</v>
      </c>
      <c r="G164" s="18" t="n">
        <f aca="false">VLOOKUP(B164,[9]Staff!B$7:H$245,7,0)</f>
        <v>13500</v>
      </c>
      <c r="H164" s="18" t="n">
        <f aca="false">VLOOKUP(B164,[9]Staff!B$7:P$245,15,0)</f>
        <v>9000</v>
      </c>
      <c r="I164" s="21" t="str">
        <f aca="false">VLOOKUP(B164,[2]sales!$B$2:$G$183,6,0)</f>
        <v>CPD South</v>
      </c>
      <c r="J164" s="22" t="s">
        <v>76</v>
      </c>
      <c r="K164" s="23" t="s">
        <v>10</v>
      </c>
      <c r="L164" s="24" t="n">
        <f aca="false">IF(H164&gt;23335,0,(H164*90%*4.75%))</f>
        <v>384.75</v>
      </c>
      <c r="M164" s="24" t="n">
        <f aca="false">IF(H164*60%*12%&gt;1800,1974,(H164*60%*13.16%))</f>
        <v>710.64</v>
      </c>
      <c r="N164" s="25" t="n">
        <f aca="false">H164+L164+M164</f>
        <v>10095.39</v>
      </c>
    </row>
    <row r="165" customFormat="false" ht="17.25" hidden="false" customHeight="true" outlineLevel="0" collapsed="false">
      <c r="A165" s="19" t="n">
        <v>164</v>
      </c>
      <c r="B165" s="18" t="n">
        <v>4057</v>
      </c>
      <c r="C165" s="35" t="s">
        <v>416</v>
      </c>
      <c r="D165" s="35" t="s">
        <v>135</v>
      </c>
      <c r="E165" s="18" t="s">
        <v>417</v>
      </c>
      <c r="F165" s="18" t="s">
        <v>109</v>
      </c>
      <c r="G165" s="18" t="n">
        <f aca="false">VLOOKUP(B165,[9]Staff!B$7:H$245,7,0)</f>
        <v>10000</v>
      </c>
      <c r="H165" s="18" t="n">
        <f aca="false">VLOOKUP(B165,[9]Staff!B$7:P$245,15,0)</f>
        <v>10000</v>
      </c>
      <c r="I165" s="22" t="s">
        <v>110</v>
      </c>
      <c r="J165" s="22" t="s">
        <v>110</v>
      </c>
      <c r="K165" s="23" t="s">
        <v>10</v>
      </c>
      <c r="L165" s="24" t="n">
        <f aca="false">IF(H165&gt;23335,0,(H165*90%*4.75%))</f>
        <v>427.5</v>
      </c>
      <c r="M165" s="24" t="n">
        <f aca="false">IF(H165*60%*12%&gt;1800,1974,(H165*60%*13.16%))</f>
        <v>789.6</v>
      </c>
      <c r="N165" s="25" t="n">
        <f aca="false">H165+L165+M165</f>
        <v>11217.1</v>
      </c>
    </row>
    <row r="166" customFormat="false" ht="17.25" hidden="false" customHeight="true" outlineLevel="0" collapsed="false">
      <c r="A166" s="18" t="n">
        <v>165</v>
      </c>
      <c r="B166" s="18" t="n">
        <v>4058</v>
      </c>
      <c r="C166" s="34" t="s">
        <v>418</v>
      </c>
      <c r="D166" s="34" t="s">
        <v>135</v>
      </c>
      <c r="E166" s="18" t="s">
        <v>417</v>
      </c>
      <c r="F166" s="18" t="s">
        <v>109</v>
      </c>
      <c r="G166" s="18" t="n">
        <f aca="false">VLOOKUP(B166,[9]Staff!B$7:H$245,7,0)</f>
        <v>9500</v>
      </c>
      <c r="H166" s="18" t="n">
        <f aca="false">VLOOKUP(B166,[9]Staff!B$7:P$245,15,0)</f>
        <v>9500</v>
      </c>
      <c r="I166" s="22" t="s">
        <v>110</v>
      </c>
      <c r="J166" s="22" t="s">
        <v>110</v>
      </c>
      <c r="K166" s="23" t="s">
        <v>10</v>
      </c>
      <c r="L166" s="24" t="n">
        <f aca="false">IF(H166&gt;23335,0,(H166*90%*4.75%))</f>
        <v>406.125</v>
      </c>
      <c r="M166" s="24" t="n">
        <f aca="false">IF(H166*60%*12%&gt;1800,1974,(H166*60%*13.16%))</f>
        <v>750.12</v>
      </c>
      <c r="N166" s="25" t="n">
        <f aca="false">H166+L166+M166</f>
        <v>10656.245</v>
      </c>
    </row>
    <row r="167" customFormat="false" ht="17.25" hidden="false" customHeight="true" outlineLevel="0" collapsed="false">
      <c r="A167" s="19" t="n">
        <v>166</v>
      </c>
      <c r="B167" s="18" t="n">
        <v>4060</v>
      </c>
      <c r="C167" s="35" t="s">
        <v>419</v>
      </c>
      <c r="D167" s="35" t="s">
        <v>135</v>
      </c>
      <c r="E167" s="18" t="s">
        <v>420</v>
      </c>
      <c r="F167" s="18" t="s">
        <v>109</v>
      </c>
      <c r="G167" s="18" t="n">
        <f aca="false">VLOOKUP(B167,[9]Staff!B$7:H$245,7,0)</f>
        <v>9500</v>
      </c>
      <c r="H167" s="18" t="n">
        <f aca="false">VLOOKUP(B167,[9]Staff!B$7:P$245,15,0)</f>
        <v>9500</v>
      </c>
      <c r="I167" s="22" t="s">
        <v>110</v>
      </c>
      <c r="J167" s="22" t="s">
        <v>110</v>
      </c>
      <c r="K167" s="23" t="s">
        <v>10</v>
      </c>
      <c r="L167" s="24" t="n">
        <f aca="false">IF(H167&gt;23335,0,(H167*90%*4.75%))</f>
        <v>406.125</v>
      </c>
      <c r="M167" s="24" t="n">
        <f aca="false">IF(H167*60%*12%&gt;1800,1974,(H167*60%*13.16%))</f>
        <v>750.12</v>
      </c>
      <c r="N167" s="25" t="n">
        <f aca="false">H167+L167+M167</f>
        <v>10656.245</v>
      </c>
    </row>
    <row r="168" customFormat="false" ht="17.25" hidden="false" customHeight="true" outlineLevel="0" collapsed="false">
      <c r="A168" s="18" t="n">
        <v>167</v>
      </c>
      <c r="B168" s="18" t="n">
        <v>4061</v>
      </c>
      <c r="C168" s="35" t="s">
        <v>421</v>
      </c>
      <c r="D168" s="20" t="str">
        <f aca="false">VLOOKUP(B168,[2]sales!$B$2:$D$183,3,0)</f>
        <v>Territory Sales Executive</v>
      </c>
      <c r="E168" s="18" t="s">
        <v>422</v>
      </c>
      <c r="F168" s="18" t="s">
        <v>67</v>
      </c>
      <c r="G168" s="18" t="n">
        <f aca="false">VLOOKUP(B168,[9]Staff!B$7:H$245,7,0)</f>
        <v>13750</v>
      </c>
      <c r="H168" s="18" t="n">
        <f aca="false">VLOOKUP(B168,[9]Staff!B$7:P$245,15,0)</f>
        <v>13750</v>
      </c>
      <c r="I168" s="21" t="str">
        <f aca="false">VLOOKUP(B168,[2]sales!$B$2:$G$183,6,0)</f>
        <v>Institution Sales</v>
      </c>
      <c r="J168" s="22" t="s">
        <v>110</v>
      </c>
      <c r="K168" s="23" t="s">
        <v>10</v>
      </c>
      <c r="L168" s="24" t="n">
        <f aca="false">IF(H168&gt;23335,0,(H168*90%*4.75%))</f>
        <v>587.8125</v>
      </c>
      <c r="M168" s="24" t="n">
        <f aca="false">IF(H168*60%*12%&gt;1800,1974,(H168*60%*13.16%))</f>
        <v>1085.7</v>
      </c>
      <c r="N168" s="25" t="n">
        <f aca="false">H168+L168+M168</f>
        <v>15423.5125</v>
      </c>
    </row>
    <row r="169" customFormat="false" ht="17.25" hidden="false" customHeight="true" outlineLevel="0" collapsed="false">
      <c r="A169" s="19" t="n">
        <v>168</v>
      </c>
      <c r="B169" s="18" t="n">
        <v>4066</v>
      </c>
      <c r="C169" s="34" t="s">
        <v>423</v>
      </c>
      <c r="D169" s="20" t="str">
        <f aca="false">VLOOKUP(B169,[2]sales!$B$2:$D$183,3,0)</f>
        <v>Territory Sales Executive</v>
      </c>
      <c r="E169" s="18" t="s">
        <v>424</v>
      </c>
      <c r="F169" s="18" t="s">
        <v>67</v>
      </c>
      <c r="G169" s="18" t="n">
        <f aca="false">VLOOKUP(B169,'[5]Hosur-Apr''18'!B$5:H$127,7,0)</f>
        <v>20500</v>
      </c>
      <c r="H169" s="18" t="n">
        <f aca="false">VLOOKUP(B169,'[5]Hosur-Apr''18'!B$5:M$127,12,0)</f>
        <v>20500</v>
      </c>
      <c r="I169" s="21" t="str">
        <f aca="false">VLOOKUP(B169,[2]sales!$B$2:$G$183,6,0)</f>
        <v>Tamilnadu</v>
      </c>
      <c r="J169" s="22" t="s">
        <v>39</v>
      </c>
      <c r="K169" s="23" t="s">
        <v>7</v>
      </c>
      <c r="L169" s="25" t="n">
        <f aca="false">IF(H169&gt;21000,0,(H169*4.75%))</f>
        <v>973.75</v>
      </c>
      <c r="M169" s="25" t="n">
        <f aca="false">IF(H169*70%*12%&gt;1800,1974,(H169*70%*12%))</f>
        <v>1722</v>
      </c>
      <c r="N169" s="25" t="n">
        <f aca="false">H169+L169+M169</f>
        <v>23195.75</v>
      </c>
    </row>
    <row r="170" customFormat="false" ht="17.25" hidden="false" customHeight="true" outlineLevel="0" collapsed="false">
      <c r="A170" s="18" t="n">
        <v>169</v>
      </c>
      <c r="B170" s="18" t="n">
        <v>4071</v>
      </c>
      <c r="C170" s="35" t="s">
        <v>425</v>
      </c>
      <c r="D170" s="35" t="s">
        <v>426</v>
      </c>
      <c r="E170" s="18" t="s">
        <v>427</v>
      </c>
      <c r="F170" s="18" t="s">
        <v>109</v>
      </c>
      <c r="G170" s="18" t="n">
        <f aca="false">VLOOKUP(B170,'[3]april (2)'!B$8:H$132,7,0)</f>
        <v>10500</v>
      </c>
      <c r="H170" s="18" t="n">
        <f aca="false">VLOOKUP(B170,'[3]april (2)'!B$8:N$132,13,0)</f>
        <v>10500</v>
      </c>
      <c r="I170" s="22" t="s">
        <v>76</v>
      </c>
      <c r="J170" s="22" t="s">
        <v>76</v>
      </c>
      <c r="K170" s="23" t="s">
        <v>3</v>
      </c>
      <c r="L170" s="24" t="n">
        <f aca="false">IF(H170&gt;23335,0,(H170*90%*4.75%))</f>
        <v>448.875</v>
      </c>
      <c r="M170" s="24" t="n">
        <f aca="false">IF(H170*60%*12%&gt;1800,1974,(H170*60%*13.16%))</f>
        <v>829.08</v>
      </c>
      <c r="N170" s="25" t="n">
        <f aca="false">H170+L170+M170</f>
        <v>11777.955</v>
      </c>
    </row>
    <row r="171" customFormat="false" ht="17.25" hidden="false" customHeight="true" outlineLevel="0" collapsed="false">
      <c r="A171" s="19" t="n">
        <v>170</v>
      </c>
      <c r="B171" s="18" t="n">
        <v>4073</v>
      </c>
      <c r="C171" s="35" t="s">
        <v>428</v>
      </c>
      <c r="D171" s="35" t="s">
        <v>135</v>
      </c>
      <c r="E171" s="18" t="s">
        <v>429</v>
      </c>
      <c r="F171" s="18" t="s">
        <v>109</v>
      </c>
      <c r="G171" s="18" t="n">
        <f aca="false">VLOOKUP(B171,[9]Staff!B$7:H$245,7,0)</f>
        <v>9500</v>
      </c>
      <c r="H171" s="18" t="n">
        <f aca="false">VLOOKUP(B171,[9]Staff!B$7:P$245,15,0)</f>
        <v>9500</v>
      </c>
      <c r="I171" s="22" t="s">
        <v>110</v>
      </c>
      <c r="J171" s="22" t="s">
        <v>110</v>
      </c>
      <c r="K171" s="23" t="s">
        <v>10</v>
      </c>
      <c r="L171" s="24" t="n">
        <f aca="false">IF(H171&gt;23335,0,(H171*90%*4.75%))</f>
        <v>406.125</v>
      </c>
      <c r="M171" s="24" t="n">
        <f aca="false">IF(H171*60%*12%&gt;1800,1974,(H171*60%*13.16%))</f>
        <v>750.12</v>
      </c>
      <c r="N171" s="25" t="n">
        <f aca="false">H171+L171+M171</f>
        <v>10656.245</v>
      </c>
    </row>
    <row r="172" customFormat="false" ht="17.25" hidden="false" customHeight="true" outlineLevel="0" collapsed="false">
      <c r="A172" s="18" t="n">
        <v>171</v>
      </c>
      <c r="B172" s="18" t="n">
        <v>4074</v>
      </c>
      <c r="C172" s="20" t="s">
        <v>430</v>
      </c>
      <c r="D172" s="20" t="str">
        <f aca="false">VLOOKUP(B172,[2]sales!$B$2:$D$183,3,0)</f>
        <v>Territory Sales Executive</v>
      </c>
      <c r="E172" s="18" t="s">
        <v>431</v>
      </c>
      <c r="F172" s="18" t="s">
        <v>67</v>
      </c>
      <c r="G172" s="18" t="n">
        <f aca="false">VLOOKUP(B172,'[5]Hosur-Apr''18'!B$5:H$127,7,0)</f>
        <v>30000</v>
      </c>
      <c r="H172" s="18" t="n">
        <f aca="false">VLOOKUP(B172,'[5]Hosur-Apr''18'!B$5:M$127,12,0)</f>
        <v>30000</v>
      </c>
      <c r="I172" s="21" t="str">
        <f aca="false">VLOOKUP(B172,[2]sales!$B$2:$G$183,6,0)</f>
        <v>Karnataka</v>
      </c>
      <c r="J172" s="22" t="s">
        <v>33</v>
      </c>
      <c r="K172" s="23" t="s">
        <v>7</v>
      </c>
      <c r="L172" s="25" t="n">
        <f aca="false">IF(H172&gt;21000,0,(H172*4.75%))</f>
        <v>0</v>
      </c>
      <c r="M172" s="25" t="n">
        <f aca="false">IF(H172*70%*12%&gt;1800,1974,(H172*70%*12%))</f>
        <v>1974</v>
      </c>
      <c r="N172" s="25" t="n">
        <f aca="false">H172+L172+M172</f>
        <v>31974</v>
      </c>
    </row>
    <row r="173" customFormat="false" ht="17.25" hidden="false" customHeight="true" outlineLevel="0" collapsed="false">
      <c r="A173" s="19" t="n">
        <v>172</v>
      </c>
      <c r="B173" s="18" t="n">
        <v>4541</v>
      </c>
      <c r="C173" s="38" t="s">
        <v>432</v>
      </c>
      <c r="D173" s="34" t="s">
        <v>135</v>
      </c>
      <c r="E173" s="18" t="s">
        <v>337</v>
      </c>
      <c r="F173" s="18" t="s">
        <v>338</v>
      </c>
      <c r="G173" s="18" t="n">
        <f aca="false">VLOOKUP(B173,'[5]Hosur-Apr''18'!B$5:H$127,7,0)</f>
        <v>9000</v>
      </c>
      <c r="H173" s="18" t="n">
        <f aca="false">VLOOKUP(B173,'[5]Hosur-Apr''18'!B$5:M$127,12,0)</f>
        <v>9000</v>
      </c>
      <c r="I173" s="22" t="s">
        <v>26</v>
      </c>
      <c r="J173" s="22" t="s">
        <v>26</v>
      </c>
      <c r="K173" s="23" t="s">
        <v>7</v>
      </c>
      <c r="L173" s="25" t="n">
        <f aca="false">IF(H173&gt;21000,0,(H173*4.75%))</f>
        <v>427.5</v>
      </c>
      <c r="M173" s="25" t="n">
        <f aca="false">IF(H173*70%*12%&gt;1800,1974,(H173*70%*12%))</f>
        <v>756</v>
      </c>
      <c r="N173" s="25" t="n">
        <f aca="false">H173+L173+M173</f>
        <v>10183.5</v>
      </c>
    </row>
    <row r="174" customFormat="false" ht="17.25" hidden="false" customHeight="true" outlineLevel="0" collapsed="false">
      <c r="A174" s="18" t="n">
        <v>173</v>
      </c>
      <c r="B174" s="18" t="n">
        <v>4077</v>
      </c>
      <c r="C174" s="35" t="s">
        <v>433</v>
      </c>
      <c r="D174" s="35" t="s">
        <v>135</v>
      </c>
      <c r="E174" s="18" t="s">
        <v>434</v>
      </c>
      <c r="F174" s="18" t="s">
        <v>109</v>
      </c>
      <c r="G174" s="18" t="n">
        <f aca="false">VLOOKUP(B174,[9]Staff!B$7:H$245,7,0)</f>
        <v>9750</v>
      </c>
      <c r="H174" s="18" t="n">
        <f aca="false">VLOOKUP(B174,[9]Staff!B$7:P$245,15,0)</f>
        <v>9750</v>
      </c>
      <c r="I174" s="22" t="s">
        <v>110</v>
      </c>
      <c r="J174" s="22" t="s">
        <v>110</v>
      </c>
      <c r="K174" s="23" t="s">
        <v>10</v>
      </c>
      <c r="L174" s="24" t="n">
        <f aca="false">IF(H174&gt;23335,0,(H174*90%*4.75%))</f>
        <v>416.8125</v>
      </c>
      <c r="M174" s="24" t="n">
        <f aca="false">IF(H174*60%*12%&gt;1800,1974,(H174*60%*13.16%))</f>
        <v>769.86</v>
      </c>
      <c r="N174" s="25" t="n">
        <f aca="false">H174+L174+M174</f>
        <v>10936.6725</v>
      </c>
    </row>
    <row r="175" customFormat="false" ht="17.25" hidden="false" customHeight="true" outlineLevel="0" collapsed="false">
      <c r="A175" s="19" t="n">
        <v>174</v>
      </c>
      <c r="B175" s="18" t="n">
        <v>4078</v>
      </c>
      <c r="C175" s="35" t="s">
        <v>435</v>
      </c>
      <c r="D175" s="35" t="s">
        <v>135</v>
      </c>
      <c r="E175" s="18" t="s">
        <v>431</v>
      </c>
      <c r="F175" s="18" t="s">
        <v>109</v>
      </c>
      <c r="G175" s="18" t="n">
        <f aca="false">VLOOKUP(B175,[9]Staff!B$7:H$245,7,0)</f>
        <v>9500</v>
      </c>
      <c r="H175" s="18" t="n">
        <f aca="false">VLOOKUP(B175,[9]Staff!B$7:P$245,15,0)</f>
        <v>9500</v>
      </c>
      <c r="I175" s="22" t="s">
        <v>110</v>
      </c>
      <c r="J175" s="22" t="s">
        <v>110</v>
      </c>
      <c r="K175" s="23" t="s">
        <v>10</v>
      </c>
      <c r="L175" s="24" t="n">
        <f aca="false">IF(H175&gt;23335,0,(H175*90%*4.75%))</f>
        <v>406.125</v>
      </c>
      <c r="M175" s="24" t="n">
        <f aca="false">IF(H175*60%*12%&gt;1800,1974,(H175*60%*13.16%))</f>
        <v>750.12</v>
      </c>
      <c r="N175" s="25" t="n">
        <f aca="false">H175+L175+M175</f>
        <v>10656.245</v>
      </c>
    </row>
    <row r="176" customFormat="false" ht="17.25" hidden="false" customHeight="true" outlineLevel="0" collapsed="false">
      <c r="A176" s="18" t="n">
        <v>175</v>
      </c>
      <c r="B176" s="18" t="n">
        <v>4079</v>
      </c>
      <c r="C176" s="35" t="s">
        <v>436</v>
      </c>
      <c r="D176" s="35" t="s">
        <v>128</v>
      </c>
      <c r="E176" s="18" t="s">
        <v>431</v>
      </c>
      <c r="F176" s="18" t="s">
        <v>109</v>
      </c>
      <c r="G176" s="18" t="n">
        <f aca="false">VLOOKUP(B176,[9]Staff!B$7:H$245,7,0)</f>
        <v>12000</v>
      </c>
      <c r="H176" s="18" t="n">
        <f aca="false">VLOOKUP(B176,[9]Staff!B$7:P$245,15,0)</f>
        <v>12000</v>
      </c>
      <c r="I176" s="22" t="s">
        <v>76</v>
      </c>
      <c r="J176" s="22" t="s">
        <v>76</v>
      </c>
      <c r="K176" s="23" t="s">
        <v>10</v>
      </c>
      <c r="L176" s="24" t="n">
        <f aca="false">IF(H176&gt;23335,0,(H176*90%*4.75%))</f>
        <v>513</v>
      </c>
      <c r="M176" s="24" t="n">
        <f aca="false">IF(H176*60%*12%&gt;1800,1974,(H176*60%*13.16%))</f>
        <v>947.52</v>
      </c>
      <c r="N176" s="25" t="n">
        <f aca="false">H176+L176+M176</f>
        <v>13460.52</v>
      </c>
    </row>
    <row r="177" customFormat="false" ht="17.25" hidden="false" customHeight="true" outlineLevel="0" collapsed="false">
      <c r="A177" s="19" t="n">
        <v>176</v>
      </c>
      <c r="B177" s="18" t="n">
        <v>4082</v>
      </c>
      <c r="C177" s="35" t="s">
        <v>437</v>
      </c>
      <c r="D177" s="35" t="s">
        <v>438</v>
      </c>
      <c r="E177" s="18" t="s">
        <v>439</v>
      </c>
      <c r="F177" s="18" t="s">
        <v>338</v>
      </c>
      <c r="G177" s="18" t="n">
        <f aca="false">VLOOKUP(B177,'[3]april (2)'!B$8:H$132,7,0)</f>
        <v>11000</v>
      </c>
      <c r="H177" s="18" t="n">
        <f aca="false">VLOOKUP(B177,'[3]april (2)'!B$8:N$132,13,0)</f>
        <v>11000</v>
      </c>
      <c r="I177" s="22" t="s">
        <v>76</v>
      </c>
      <c r="J177" s="22" t="s">
        <v>76</v>
      </c>
      <c r="K177" s="23" t="s">
        <v>3</v>
      </c>
      <c r="L177" s="24" t="n">
        <f aca="false">IF(H177&gt;23335,0,(H177*90%*4.75%))</f>
        <v>470.25</v>
      </c>
      <c r="M177" s="24" t="n">
        <f aca="false">IF(H177*60%*12%&gt;1800,1974,(H177*60%*13.16%))</f>
        <v>868.56</v>
      </c>
      <c r="N177" s="25" t="n">
        <f aca="false">H177+L177+M177</f>
        <v>12338.81</v>
      </c>
    </row>
    <row r="178" customFormat="false" ht="17.25" hidden="false" customHeight="true" outlineLevel="0" collapsed="false">
      <c r="A178" s="18" t="n">
        <v>177</v>
      </c>
      <c r="B178" s="19" t="n">
        <v>4083</v>
      </c>
      <c r="C178" s="35" t="s">
        <v>440</v>
      </c>
      <c r="D178" s="20" t="str">
        <f aca="false">VLOOKUP(B178,[2]sales!$B$2:$D$183,3,0)</f>
        <v>Territory Sales Executive</v>
      </c>
      <c r="E178" s="18" t="s">
        <v>441</v>
      </c>
      <c r="F178" s="18" t="s">
        <v>79</v>
      </c>
      <c r="G178" s="18" t="n">
        <f aca="false">VLOOKUP(B178,'[7]Mumbai-Apr''18'!B$5:H$26,7,0)</f>
        <v>27000</v>
      </c>
      <c r="H178" s="18" t="n">
        <f aca="false">VLOOKUP(B178,'[7]Mumbai-Apr''18'!B$5:M$26,12,0)</f>
        <v>27000</v>
      </c>
      <c r="I178" s="21" t="str">
        <f aca="false">VLOOKUP(B178,[2]sales!$B$2:$G$183,6,0)</f>
        <v>West</v>
      </c>
      <c r="J178" s="22" t="s">
        <v>442</v>
      </c>
      <c r="K178" s="23" t="s">
        <v>9</v>
      </c>
      <c r="L178" s="25" t="n">
        <f aca="false">IF(H178&gt;21000,0,(H178*4.75%))</f>
        <v>0</v>
      </c>
      <c r="M178" s="25" t="n">
        <f aca="false">IF(H178*70%*12%&gt;1800,1974,(H178*70%*12%))</f>
        <v>1974</v>
      </c>
      <c r="N178" s="25" t="n">
        <f aca="false">H178+L178+M178</f>
        <v>28974</v>
      </c>
    </row>
    <row r="179" customFormat="false" ht="17.25" hidden="false" customHeight="true" outlineLevel="0" collapsed="false">
      <c r="A179" s="19" t="n">
        <v>178</v>
      </c>
      <c r="B179" s="19" t="n">
        <v>4540</v>
      </c>
      <c r="C179" s="35" t="s">
        <v>443</v>
      </c>
      <c r="D179" s="35" t="s">
        <v>135</v>
      </c>
      <c r="E179" s="18" t="s">
        <v>444</v>
      </c>
      <c r="F179" s="18" t="s">
        <v>109</v>
      </c>
      <c r="G179" s="18" t="n">
        <f aca="false">VLOOKUP(B179,'[7]Mumbai-Apr''18'!B$5:H$26,7,0)</f>
        <v>14000</v>
      </c>
      <c r="H179" s="18" t="n">
        <f aca="false">VLOOKUP(B179,'[7]Mumbai-Apr''18'!B$5:M$26,12,0)</f>
        <v>14000</v>
      </c>
      <c r="I179" s="39" t="s">
        <v>133</v>
      </c>
      <c r="J179" s="39" t="s">
        <v>133</v>
      </c>
      <c r="K179" s="23" t="s">
        <v>9</v>
      </c>
      <c r="L179" s="25" t="n">
        <f aca="false">IF(H179&gt;21000,0,(H179*4.75%))</f>
        <v>665</v>
      </c>
      <c r="M179" s="25" t="n">
        <f aca="false">IF(H179*70%*12%&gt;1800,1974,(H179*70%*12%))</f>
        <v>1176</v>
      </c>
      <c r="N179" s="25" t="n">
        <f aca="false">H179+L179+M179</f>
        <v>15841</v>
      </c>
    </row>
    <row r="180" customFormat="false" ht="17.25" hidden="false" customHeight="true" outlineLevel="0" collapsed="false">
      <c r="A180" s="18" t="n">
        <v>179</v>
      </c>
      <c r="B180" s="19" t="n">
        <v>4084</v>
      </c>
      <c r="C180" s="27" t="s">
        <v>445</v>
      </c>
      <c r="D180" s="20" t="str">
        <f aca="false">VLOOKUP(B180,[2]sales!$B$2:$D$183,3,0)</f>
        <v>Area Sales Manager</v>
      </c>
      <c r="E180" s="18" t="s">
        <v>446</v>
      </c>
      <c r="F180" s="18" t="s">
        <v>64</v>
      </c>
      <c r="G180" s="18" t="n">
        <f aca="false">VLOOKUP(B180,'[7]Mumbai-Apr''18'!B$5:H$26,7,0)</f>
        <v>53000</v>
      </c>
      <c r="H180" s="18" t="n">
        <f aca="false">VLOOKUP(B180,'[7]Mumbai-Apr''18'!B$5:M$26,12,0)</f>
        <v>53000</v>
      </c>
      <c r="I180" s="21" t="str">
        <f aca="false">VLOOKUP(B180,[2]sales!$B$2:$G$183,6,0)</f>
        <v>West</v>
      </c>
      <c r="J180" s="22" t="s">
        <v>9</v>
      </c>
      <c r="K180" s="23" t="s">
        <v>9</v>
      </c>
      <c r="L180" s="25" t="n">
        <f aca="false">IF(H180&gt;21000,0,(H180*4.75%))</f>
        <v>0</v>
      </c>
      <c r="M180" s="25" t="n">
        <f aca="false">IF(H180*70%*12%&gt;1800,1974,(H180*70%*12%))</f>
        <v>1974</v>
      </c>
      <c r="N180" s="25" t="n">
        <f aca="false">H180+L180+M180</f>
        <v>54974</v>
      </c>
    </row>
    <row r="181" customFormat="false" ht="17.25" hidden="false" customHeight="true" outlineLevel="0" collapsed="false">
      <c r="A181" s="19" t="n">
        <v>180</v>
      </c>
      <c r="B181" s="18" t="n">
        <v>4088</v>
      </c>
      <c r="C181" s="27" t="s">
        <v>447</v>
      </c>
      <c r="D181" s="20" t="str">
        <f aca="false">VLOOKUP(B181,[2]sales!$B$2:$D$183,3,0)</f>
        <v>Sr. Territory Sales Executive</v>
      </c>
      <c r="E181" s="18" t="s">
        <v>448</v>
      </c>
      <c r="F181" s="18" t="s">
        <v>79</v>
      </c>
      <c r="G181" s="18" t="n">
        <f aca="false">VLOOKUP(B181,'[5]Hosur-Apr''18'!B$5:H$127,7,0)</f>
        <v>25000</v>
      </c>
      <c r="H181" s="18" t="n">
        <f aca="false">VLOOKUP(B181,'[5]Hosur-Apr''18'!B$5:M$127,12,0)</f>
        <v>25000</v>
      </c>
      <c r="I181" s="21" t="str">
        <f aca="false">VLOOKUP(B181,[2]sales!$B$2:$G$183,6,0)</f>
        <v>Karnataka</v>
      </c>
      <c r="J181" s="22" t="s">
        <v>33</v>
      </c>
      <c r="K181" s="23" t="s">
        <v>7</v>
      </c>
      <c r="L181" s="25" t="n">
        <f aca="false">IF(H181&gt;21000,0,(H181*4.75%))</f>
        <v>0</v>
      </c>
      <c r="M181" s="25" t="n">
        <f aca="false">IF(H181*70%*12%&gt;1800,1974,(H181*70%*12%))</f>
        <v>1974</v>
      </c>
      <c r="N181" s="25" t="n">
        <f aca="false">H181+L181+M181</f>
        <v>26974</v>
      </c>
    </row>
    <row r="182" customFormat="false" ht="17.25" hidden="false" customHeight="true" outlineLevel="0" collapsed="false">
      <c r="A182" s="18" t="n">
        <v>181</v>
      </c>
      <c r="B182" s="19" t="n">
        <v>4095</v>
      </c>
      <c r="C182" s="27" t="s">
        <v>449</v>
      </c>
      <c r="D182" s="20" t="str">
        <f aca="false">VLOOKUP(B182,[2]sales!$B$2:$D$183,3,0)</f>
        <v>Sr. Territory Sales Executive</v>
      </c>
      <c r="E182" s="18" t="s">
        <v>450</v>
      </c>
      <c r="F182" s="18" t="s">
        <v>79</v>
      </c>
      <c r="G182" s="18" t="n">
        <f aca="false">VLOOKUP(B182,'[7]Mumbai-Apr''18'!B$5:H$26,7,0)</f>
        <v>25000</v>
      </c>
      <c r="H182" s="18" t="n">
        <f aca="false">VLOOKUP(B182,'[7]Mumbai-Apr''18'!B$5:M$26,12,0)</f>
        <v>25000</v>
      </c>
      <c r="I182" s="21" t="str">
        <f aca="false">VLOOKUP(B182,[2]sales!$B$2:$G$183,6,0)</f>
        <v>West</v>
      </c>
      <c r="J182" s="22" t="s">
        <v>9</v>
      </c>
      <c r="K182" s="23" t="s">
        <v>9</v>
      </c>
      <c r="L182" s="25" t="n">
        <f aca="false">IF(H182&gt;21000,0,(H182*4.75%))</f>
        <v>0</v>
      </c>
      <c r="M182" s="25" t="n">
        <f aca="false">IF(H182*70%*12%&gt;1800,1974,(H182*70%*12%))</f>
        <v>1974</v>
      </c>
      <c r="N182" s="25" t="n">
        <f aca="false">H182+L182+M182</f>
        <v>26974</v>
      </c>
    </row>
    <row r="183" customFormat="false" ht="17.25" hidden="false" customHeight="true" outlineLevel="0" collapsed="false">
      <c r="A183" s="19" t="n">
        <v>182</v>
      </c>
      <c r="B183" s="18" t="n">
        <v>4097</v>
      </c>
      <c r="C183" s="35" t="s">
        <v>451</v>
      </c>
      <c r="D183" s="20" t="str">
        <f aca="false">VLOOKUP(B183,[2]sales!$B$2:$D$183,3,0)</f>
        <v>Territory Sales Executive</v>
      </c>
      <c r="E183" s="18" t="s">
        <v>452</v>
      </c>
      <c r="F183" s="18" t="s">
        <v>67</v>
      </c>
      <c r="G183" s="18" t="n">
        <f aca="false">VLOOKUP(B183,[9]Staff!B$7:H$245,7,0)</f>
        <v>16000</v>
      </c>
      <c r="H183" s="18" t="n">
        <f aca="false">VLOOKUP(B183,[9]Staff!B$7:P$245,15,0)</f>
        <v>16000</v>
      </c>
      <c r="I183" s="21" t="str">
        <f aca="false">VLOOKUP(B183,[2]sales!$B$2:$G$183,6,0)</f>
        <v>Bulk</v>
      </c>
      <c r="J183" s="22" t="s">
        <v>27</v>
      </c>
      <c r="K183" s="23" t="s">
        <v>10</v>
      </c>
      <c r="L183" s="24" t="n">
        <f aca="false">IF(H183&gt;23335,0,(H183*90%*4.75%))</f>
        <v>684</v>
      </c>
      <c r="M183" s="24" t="n">
        <f aca="false">IF(H183*60%*12%&gt;1800,1974,(H183*60%*13.16%))</f>
        <v>1263.36</v>
      </c>
      <c r="N183" s="25" t="n">
        <f aca="false">H183+L183+M183</f>
        <v>17947.36</v>
      </c>
    </row>
    <row r="184" customFormat="false" ht="17.25" hidden="false" customHeight="true" outlineLevel="0" collapsed="false">
      <c r="A184" s="18" t="n">
        <v>183</v>
      </c>
      <c r="B184" s="19" t="n">
        <v>4099</v>
      </c>
      <c r="C184" s="20" t="s">
        <v>453</v>
      </c>
      <c r="D184" s="20" t="s">
        <v>454</v>
      </c>
      <c r="E184" s="18" t="s">
        <v>455</v>
      </c>
      <c r="F184" s="18" t="s">
        <v>109</v>
      </c>
      <c r="G184" s="18" t="n">
        <f aca="false">VLOOKUP(B184,'[3]april (2)'!B$8:H$132,7,0)</f>
        <v>12000</v>
      </c>
      <c r="H184" s="18" t="n">
        <f aca="false">VLOOKUP(B184,'[3]april (2)'!B$8:N$132,13,0)</f>
        <v>12000</v>
      </c>
      <c r="I184" s="22" t="s">
        <v>76</v>
      </c>
      <c r="J184" s="22" t="s">
        <v>76</v>
      </c>
      <c r="K184" s="23" t="s">
        <v>3</v>
      </c>
      <c r="L184" s="24" t="n">
        <f aca="false">IF(H184&gt;23335,0,(H184*90%*4.75%))</f>
        <v>513</v>
      </c>
      <c r="M184" s="24" t="n">
        <f aca="false">IF(H184*60%*12%&gt;1800,1974,(H184*60%*13.16%))</f>
        <v>947.52</v>
      </c>
      <c r="N184" s="25" t="n">
        <f aca="false">H184+L184+M184</f>
        <v>13460.52</v>
      </c>
    </row>
    <row r="185" customFormat="false" ht="17.25" hidden="false" customHeight="true" outlineLevel="0" collapsed="false">
      <c r="A185" s="19" t="n">
        <v>184</v>
      </c>
      <c r="B185" s="18" t="n">
        <v>4101</v>
      </c>
      <c r="C185" s="35" t="s">
        <v>456</v>
      </c>
      <c r="D185" s="20" t="str">
        <f aca="false">VLOOKUP(B185,[2]sales!$B$2:$D$183,3,0)</f>
        <v>Territory Sales Executive</v>
      </c>
      <c r="E185" s="18" t="s">
        <v>457</v>
      </c>
      <c r="F185" s="18" t="s">
        <v>67</v>
      </c>
      <c r="G185" s="18" t="n">
        <f aca="false">VLOOKUP(B185,[9]Staff!B$7:H$245,7,0)</f>
        <v>14200</v>
      </c>
      <c r="H185" s="18" t="n">
        <f aca="false">VLOOKUP(B185,[9]Staff!B$7:P$245,15,0)</f>
        <v>14200</v>
      </c>
      <c r="I185" s="21" t="str">
        <f aca="false">VLOOKUP(B185,[2]sales!$B$2:$G$183,6,0)</f>
        <v>Bulk</v>
      </c>
      <c r="J185" s="22" t="s">
        <v>27</v>
      </c>
      <c r="K185" s="23" t="s">
        <v>10</v>
      </c>
      <c r="L185" s="24" t="n">
        <f aca="false">IF(H185&gt;23335,0,(H185*90%*4.75%))</f>
        <v>607.05</v>
      </c>
      <c r="M185" s="24" t="n">
        <f aca="false">IF(H185*60%*12%&gt;1800,1974,(H185*60%*13.16%))</f>
        <v>1121.232</v>
      </c>
      <c r="N185" s="25" t="n">
        <f aca="false">H185+L185+M185</f>
        <v>15928.282</v>
      </c>
    </row>
    <row r="186" customFormat="false" ht="17.25" hidden="false" customHeight="true" outlineLevel="0" collapsed="false">
      <c r="A186" s="18" t="n">
        <v>185</v>
      </c>
      <c r="B186" s="18" t="n">
        <v>4116</v>
      </c>
      <c r="C186" s="35" t="s">
        <v>458</v>
      </c>
      <c r="D186" s="20" t="s">
        <v>459</v>
      </c>
      <c r="E186" s="18" t="s">
        <v>460</v>
      </c>
      <c r="F186" s="18" t="s">
        <v>338</v>
      </c>
      <c r="G186" s="18" t="n">
        <f aca="false">VLOOKUP(B186,[9]Staff!B$7:H$245,7,0)</f>
        <v>10000</v>
      </c>
      <c r="H186" s="18" t="n">
        <f aca="false">VLOOKUP(B186,[9]Staff!B$7:P$245,15,0)</f>
        <v>10000</v>
      </c>
      <c r="I186" s="22" t="s">
        <v>27</v>
      </c>
      <c r="J186" s="22" t="s">
        <v>27</v>
      </c>
      <c r="K186" s="23" t="s">
        <v>10</v>
      </c>
      <c r="L186" s="24" t="n">
        <f aca="false">IF(H186&gt;23335,0,(H186*90%*4.75%))</f>
        <v>427.5</v>
      </c>
      <c r="M186" s="24" t="n">
        <f aca="false">IF(H186*60%*12%&gt;1800,1974,(H186*60%*13.16%))</f>
        <v>789.6</v>
      </c>
      <c r="N186" s="25" t="n">
        <f aca="false">H186+L186+M186</f>
        <v>11217.1</v>
      </c>
    </row>
    <row r="187" customFormat="false" ht="17.25" hidden="false" customHeight="true" outlineLevel="0" collapsed="false">
      <c r="A187" s="19" t="n">
        <v>186</v>
      </c>
      <c r="B187" s="18" t="n">
        <v>4121</v>
      </c>
      <c r="C187" s="35" t="s">
        <v>461</v>
      </c>
      <c r="D187" s="20" t="s">
        <v>462</v>
      </c>
      <c r="E187" s="18" t="s">
        <v>463</v>
      </c>
      <c r="F187" s="18" t="s">
        <v>338</v>
      </c>
      <c r="G187" s="18" t="n">
        <f aca="false">VLOOKUP(B187,[9]Staff!B$7:H$245,7,0)</f>
        <v>12000</v>
      </c>
      <c r="H187" s="18" t="n">
        <f aca="false">VLOOKUP(B187,[9]Staff!B$7:P$245,15,0)</f>
        <v>12000</v>
      </c>
      <c r="I187" s="22" t="s">
        <v>27</v>
      </c>
      <c r="J187" s="22" t="s">
        <v>27</v>
      </c>
      <c r="K187" s="23" t="s">
        <v>10</v>
      </c>
      <c r="L187" s="24" t="n">
        <f aca="false">IF(H187&gt;23335,0,(H187*90%*4.75%))</f>
        <v>513</v>
      </c>
      <c r="M187" s="24" t="n">
        <f aca="false">IF(H187*60%*12%&gt;1800,1974,(H187*60%*13.16%))</f>
        <v>947.52</v>
      </c>
      <c r="N187" s="25" t="n">
        <f aca="false">H187+L187+M187</f>
        <v>13460.52</v>
      </c>
    </row>
    <row r="188" customFormat="false" ht="17.25" hidden="false" customHeight="true" outlineLevel="0" collapsed="false">
      <c r="A188" s="18" t="n">
        <v>187</v>
      </c>
      <c r="B188" s="18" t="n">
        <v>4131</v>
      </c>
      <c r="C188" s="35" t="s">
        <v>464</v>
      </c>
      <c r="D188" s="35" t="s">
        <v>135</v>
      </c>
      <c r="E188" s="18" t="s">
        <v>465</v>
      </c>
      <c r="F188" s="18" t="s">
        <v>338</v>
      </c>
      <c r="G188" s="18" t="n">
        <f aca="false">VLOOKUP(B188,[9]Staff!B$7:H$245,7,0)</f>
        <v>9750</v>
      </c>
      <c r="H188" s="18" t="n">
        <f aca="false">VLOOKUP(B188,[9]Staff!B$7:P$245,15,0)</f>
        <v>9750</v>
      </c>
      <c r="I188" s="22" t="s">
        <v>110</v>
      </c>
      <c r="J188" s="22" t="s">
        <v>110</v>
      </c>
      <c r="K188" s="23" t="s">
        <v>10</v>
      </c>
      <c r="L188" s="24" t="n">
        <f aca="false">IF(H188&gt;23335,0,(H188*90%*4.75%))</f>
        <v>416.8125</v>
      </c>
      <c r="M188" s="24" t="n">
        <f aca="false">IF(H188*60%*12%&gt;1800,1974,(H188*60%*13.16%))</f>
        <v>769.86</v>
      </c>
      <c r="N188" s="25" t="n">
        <f aca="false">H188+L188+M188</f>
        <v>10936.6725</v>
      </c>
    </row>
    <row r="189" customFormat="false" ht="31.5" hidden="false" customHeight="true" outlineLevel="0" collapsed="false">
      <c r="A189" s="19" t="n">
        <v>188</v>
      </c>
      <c r="B189" s="18" t="n">
        <v>4139</v>
      </c>
      <c r="C189" s="27" t="s">
        <v>466</v>
      </c>
      <c r="D189" s="20" t="str">
        <f aca="false">VLOOKUP(B189,[2]sales!$B$2:$D$183,3,0)</f>
        <v>Territory Sales Executive</v>
      </c>
      <c r="E189" s="18" t="s">
        <v>467</v>
      </c>
      <c r="F189" s="18" t="s">
        <v>67</v>
      </c>
      <c r="G189" s="18" t="n">
        <f aca="false">VLOOKUP(B189,'[5]Hosur-Apr''18'!B$5:H$127,7,0)</f>
        <v>18700</v>
      </c>
      <c r="H189" s="18" t="n">
        <f aca="false">VLOOKUP(B189,'[5]Hosur-Apr''18'!B$5:M$127,12,0)</f>
        <v>18700</v>
      </c>
      <c r="I189" s="21" t="str">
        <f aca="false">VLOOKUP(B189,[2]sales!$B$2:$G$183,6,0)</f>
        <v>Tamilnadu</v>
      </c>
      <c r="J189" s="22" t="s">
        <v>39</v>
      </c>
      <c r="K189" s="23" t="s">
        <v>7</v>
      </c>
      <c r="L189" s="25" t="n">
        <f aca="false">IF(H189&gt;21000,0,(H189*4.75%))</f>
        <v>888.25</v>
      </c>
      <c r="M189" s="25" t="n">
        <f aca="false">IF(H189*70%*12%&gt;1800,1974,(H189*70%*12%))</f>
        <v>1570.8</v>
      </c>
      <c r="N189" s="25" t="n">
        <f aca="false">H189+L189+M189</f>
        <v>21159.05</v>
      </c>
    </row>
    <row r="190" customFormat="false" ht="17.25" hidden="false" customHeight="true" outlineLevel="0" collapsed="false">
      <c r="A190" s="18" t="n">
        <v>189</v>
      </c>
      <c r="B190" s="18" t="n">
        <v>4140</v>
      </c>
      <c r="C190" s="26" t="s">
        <v>468</v>
      </c>
      <c r="D190" s="20" t="s">
        <v>426</v>
      </c>
      <c r="E190" s="18" t="s">
        <v>467</v>
      </c>
      <c r="F190" s="18" t="s">
        <v>338</v>
      </c>
      <c r="G190" s="18" t="n">
        <f aca="false">VLOOKUP(B190,[9]Staff!B$7:H$245,7,0)</f>
        <v>11500</v>
      </c>
      <c r="H190" s="18" t="n">
        <f aca="false">VLOOKUP(B190,[9]Staff!B$7:P$245,15,0)</f>
        <v>11500</v>
      </c>
      <c r="I190" s="22" t="s">
        <v>27</v>
      </c>
      <c r="J190" s="22" t="s">
        <v>27</v>
      </c>
      <c r="K190" s="23" t="s">
        <v>10</v>
      </c>
      <c r="L190" s="24" t="n">
        <f aca="false">IF(H190&gt;23335,0,(H190*90%*4.75%))</f>
        <v>491.625</v>
      </c>
      <c r="M190" s="24" t="n">
        <f aca="false">IF(H190*60%*12%&gt;1800,1974,(H190*60%*13.16%))</f>
        <v>908.04</v>
      </c>
      <c r="N190" s="25" t="n">
        <f aca="false">H190+L190+M190</f>
        <v>12899.665</v>
      </c>
    </row>
    <row r="191" customFormat="false" ht="17.25" hidden="false" customHeight="true" outlineLevel="0" collapsed="false">
      <c r="A191" s="19" t="n">
        <v>190</v>
      </c>
      <c r="B191" s="18" t="n">
        <v>4143</v>
      </c>
      <c r="C191" s="27" t="s">
        <v>469</v>
      </c>
      <c r="D191" s="20" t="str">
        <f aca="false">VLOOKUP(B191,[2]sales!$B$2:$D$183,3,0)</f>
        <v>Territory Sales Executive</v>
      </c>
      <c r="E191" s="18" t="s">
        <v>470</v>
      </c>
      <c r="F191" s="18" t="s">
        <v>67</v>
      </c>
      <c r="G191" s="18" t="n">
        <f aca="false">VLOOKUP(B191,'[5]Hosur-Apr''18'!B$5:H$127,7,0)</f>
        <v>22000</v>
      </c>
      <c r="H191" s="18" t="n">
        <f aca="false">VLOOKUP(B191,'[5]Hosur-Apr''18'!B$5:M$127,12,0)</f>
        <v>22000</v>
      </c>
      <c r="I191" s="21" t="str">
        <f aca="false">VLOOKUP(B191,[2]sales!$B$2:$G$183,6,0)</f>
        <v>Tamilnadu</v>
      </c>
      <c r="J191" s="22" t="s">
        <v>39</v>
      </c>
      <c r="K191" s="23" t="s">
        <v>7</v>
      </c>
      <c r="L191" s="25" t="n">
        <f aca="false">IF(H191&gt;21000,0,(H191*4.75%))</f>
        <v>0</v>
      </c>
      <c r="M191" s="25" t="n">
        <f aca="false">IF(H191*70%*12%&gt;1800,1974,(H191*70%*12%))</f>
        <v>1974</v>
      </c>
      <c r="N191" s="25" t="n">
        <f aca="false">H191+L191+M191</f>
        <v>23974</v>
      </c>
    </row>
    <row r="192" customFormat="false" ht="17.25" hidden="false" customHeight="true" outlineLevel="0" collapsed="false">
      <c r="A192" s="18" t="n">
        <v>191</v>
      </c>
      <c r="B192" s="19" t="n">
        <v>4146</v>
      </c>
      <c r="C192" s="20" t="s">
        <v>471</v>
      </c>
      <c r="D192" s="35" t="s">
        <v>472</v>
      </c>
      <c r="E192" s="18" t="s">
        <v>473</v>
      </c>
      <c r="F192" s="18" t="s">
        <v>109</v>
      </c>
      <c r="G192" s="18" t="n">
        <f aca="false">VLOOKUP(B192,[9]Staff!B$7:H$245,7,0)</f>
        <v>13500</v>
      </c>
      <c r="H192" s="18" t="n">
        <f aca="false">VLOOKUP(B192,[9]Staff!B$7:P$245,15,0)</f>
        <v>13500</v>
      </c>
      <c r="I192" s="22" t="s">
        <v>27</v>
      </c>
      <c r="J192" s="22" t="s">
        <v>27</v>
      </c>
      <c r="K192" s="23" t="s">
        <v>10</v>
      </c>
      <c r="L192" s="24" t="n">
        <f aca="false">IF(H192&gt;23335,0,(H192*90%*4.75%))</f>
        <v>577.125</v>
      </c>
      <c r="M192" s="24" t="n">
        <f aca="false">IF(H192*60%*12%&gt;1800,1974,(H192*60%*13.16%))</f>
        <v>1065.96</v>
      </c>
      <c r="N192" s="25" t="n">
        <f aca="false">H192+L192+M192</f>
        <v>15143.085</v>
      </c>
    </row>
    <row r="193" customFormat="false" ht="17.25" hidden="false" customHeight="true" outlineLevel="0" collapsed="false">
      <c r="A193" s="19" t="n">
        <v>192</v>
      </c>
      <c r="B193" s="19" t="n">
        <v>4147</v>
      </c>
      <c r="C193" s="20" t="s">
        <v>474</v>
      </c>
      <c r="D193" s="20" t="str">
        <f aca="false">VLOOKUP(B193,[2]sales!$B$2:$D$183,3,0)</f>
        <v>Territory Sales Executive</v>
      </c>
      <c r="E193" s="18" t="s">
        <v>475</v>
      </c>
      <c r="F193" s="18" t="s">
        <v>67</v>
      </c>
      <c r="G193" s="18" t="n">
        <f aca="false">VLOOKUP(B193,'[3]april (2)'!B$8:H$132,7,0)</f>
        <v>13000</v>
      </c>
      <c r="H193" s="18" t="n">
        <f aca="false">VLOOKUP(B193,'[3]april (2)'!B$8:N$132,13,0)</f>
        <v>13000</v>
      </c>
      <c r="I193" s="21" t="str">
        <f aca="false">VLOOKUP(B193,[2]sales!$B$2:$G$183,6,0)</f>
        <v>Bakery North</v>
      </c>
      <c r="J193" s="22" t="s">
        <v>126</v>
      </c>
      <c r="K193" s="23" t="s">
        <v>3</v>
      </c>
      <c r="L193" s="24" t="n">
        <f aca="false">IF(H193&gt;23335,0,(H193*90%*4.75%))</f>
        <v>555.75</v>
      </c>
      <c r="M193" s="24" t="n">
        <f aca="false">IF(H193*60%*12%&gt;1800,1974,(H193*60%*13.16%))</f>
        <v>1026.48</v>
      </c>
      <c r="N193" s="25" t="n">
        <f aca="false">H193+L193+M193</f>
        <v>14582.23</v>
      </c>
    </row>
    <row r="194" customFormat="false" ht="17.25" hidden="false" customHeight="true" outlineLevel="0" collapsed="false">
      <c r="A194" s="18" t="n">
        <v>193</v>
      </c>
      <c r="B194" s="18" t="n">
        <v>4154</v>
      </c>
      <c r="C194" s="27" t="s">
        <v>476</v>
      </c>
      <c r="D194" s="20" t="str">
        <f aca="false">VLOOKUP(B194,[2]sales!$B$2:$D$183,3,0)</f>
        <v>Territory Sales Executive</v>
      </c>
      <c r="E194" s="18" t="s">
        <v>477</v>
      </c>
      <c r="F194" s="18" t="s">
        <v>67</v>
      </c>
      <c r="G194" s="18" t="n">
        <f aca="false">VLOOKUP(B194,'[5]Hosur-Apr''18'!B$5:H$127,7,0)</f>
        <v>17000</v>
      </c>
      <c r="H194" s="18" t="n">
        <f aca="false">VLOOKUP(B194,'[5]Hosur-Apr''18'!B$5:M$127,12,0)</f>
        <v>17000</v>
      </c>
      <c r="I194" s="21" t="str">
        <f aca="false">VLOOKUP(B194,[2]sales!$B$2:$G$183,6,0)</f>
        <v>Karnataka</v>
      </c>
      <c r="J194" s="22" t="s">
        <v>33</v>
      </c>
      <c r="K194" s="23" t="s">
        <v>7</v>
      </c>
      <c r="L194" s="25" t="n">
        <f aca="false">IF(H194&gt;21000,0,(H194*4.75%))</f>
        <v>807.5</v>
      </c>
      <c r="M194" s="25" t="n">
        <f aca="false">IF(H194*70%*12%&gt;1800,1974,(H194*70%*12%))</f>
        <v>1428</v>
      </c>
      <c r="N194" s="25" t="n">
        <f aca="false">H194+L194+M194</f>
        <v>19235.5</v>
      </c>
    </row>
    <row r="195" customFormat="false" ht="17.25" hidden="false" customHeight="true" outlineLevel="0" collapsed="false">
      <c r="A195" s="19" t="n">
        <v>194</v>
      </c>
      <c r="B195" s="19" t="n">
        <v>4156</v>
      </c>
      <c r="C195" s="20" t="s">
        <v>478</v>
      </c>
      <c r="D195" s="20" t="str">
        <f aca="false">VLOOKUP(B195,[2]sales!$B$2:$D$183,3,0)</f>
        <v>Territory Sales Executive</v>
      </c>
      <c r="E195" s="18" t="s">
        <v>479</v>
      </c>
      <c r="F195" s="18" t="s">
        <v>67</v>
      </c>
      <c r="G195" s="18" t="n">
        <f aca="false">VLOOKUP(B195,[9]Staff!B$7:H$245,7,0)</f>
        <v>14000</v>
      </c>
      <c r="H195" s="18" t="n">
        <f aca="false">VLOOKUP(B195,[9]Staff!B$7:P$245,15,0)</f>
        <v>14000</v>
      </c>
      <c r="I195" s="21" t="str">
        <f aca="false">VLOOKUP(B195,[2]sales!$B$2:$G$183,6,0)</f>
        <v>institution Sales</v>
      </c>
      <c r="J195" s="22" t="s">
        <v>110</v>
      </c>
      <c r="K195" s="23" t="s">
        <v>10</v>
      </c>
      <c r="L195" s="24" t="n">
        <f aca="false">IF(H195&gt;23335,0,(H195*90%*4.75%))</f>
        <v>598.5</v>
      </c>
      <c r="M195" s="24" t="n">
        <f aca="false">IF(H195*60%*12%&gt;1800,1974,(H195*60%*13.16%))</f>
        <v>1105.44</v>
      </c>
      <c r="N195" s="25" t="n">
        <f aca="false">H195+L195+M195</f>
        <v>15703.94</v>
      </c>
    </row>
    <row r="196" customFormat="false" ht="17.25" hidden="false" customHeight="true" outlineLevel="0" collapsed="false">
      <c r="A196" s="18" t="n">
        <v>195</v>
      </c>
      <c r="B196" s="19" t="n">
        <v>4163</v>
      </c>
      <c r="C196" s="20" t="s">
        <v>480</v>
      </c>
      <c r="D196" s="20" t="str">
        <f aca="false">VLOOKUP(B196,[2]sales!$B$2:$D$183,3,0)</f>
        <v>Territory Sales Executive</v>
      </c>
      <c r="E196" s="18" t="s">
        <v>481</v>
      </c>
      <c r="F196" s="18" t="s">
        <v>67</v>
      </c>
      <c r="G196" s="18" t="n">
        <f aca="false">VLOOKUP(B196,[9]Staff!B$7:H$245,7,0)</f>
        <v>15500</v>
      </c>
      <c r="H196" s="18" t="n">
        <f aca="false">VLOOKUP(B196,[9]Staff!B$7:P$245,15,0)</f>
        <v>15500</v>
      </c>
      <c r="I196" s="21" t="str">
        <f aca="false">VLOOKUP(B196,[2]sales!$B$2:$G$183,6,0)</f>
        <v>Modern Trade</v>
      </c>
      <c r="J196" s="22" t="s">
        <v>133</v>
      </c>
      <c r="K196" s="23" t="s">
        <v>10</v>
      </c>
      <c r="L196" s="24" t="n">
        <f aca="false">IF(H196&gt;23335,0,(H196*90%*4.75%))</f>
        <v>662.625</v>
      </c>
      <c r="M196" s="24" t="n">
        <f aca="false">IF(H196*60%*12%&gt;1800,1974,(H196*60%*13.16%))</f>
        <v>1223.88</v>
      </c>
      <c r="N196" s="25" t="n">
        <f aca="false">H196+L196+M196</f>
        <v>17386.505</v>
      </c>
    </row>
    <row r="197" customFormat="false" ht="17.25" hidden="false" customHeight="true" outlineLevel="0" collapsed="false">
      <c r="A197" s="19" t="n">
        <v>196</v>
      </c>
      <c r="B197" s="19" t="n">
        <v>4165</v>
      </c>
      <c r="C197" s="20" t="s">
        <v>482</v>
      </c>
      <c r="D197" s="20" t="s">
        <v>483</v>
      </c>
      <c r="E197" s="18" t="s">
        <v>484</v>
      </c>
      <c r="F197" s="18" t="s">
        <v>109</v>
      </c>
      <c r="G197" s="18" t="n">
        <f aca="false">VLOOKUP(B197,[9]Staff!B$7:H$245,7,0)</f>
        <v>10250</v>
      </c>
      <c r="H197" s="18" t="n">
        <f aca="false">VLOOKUP(B197,[9]Staff!B$7:P$245,15,0)</f>
        <v>10250</v>
      </c>
      <c r="I197" s="22" t="s">
        <v>110</v>
      </c>
      <c r="J197" s="22" t="s">
        <v>110</v>
      </c>
      <c r="K197" s="23" t="s">
        <v>10</v>
      </c>
      <c r="L197" s="24" t="n">
        <f aca="false">IF(H197&gt;23335,0,(H197*90%*4.75%))</f>
        <v>438.1875</v>
      </c>
      <c r="M197" s="24" t="n">
        <f aca="false">IF(H197*60%*12%&gt;1800,1974,(H197*60%*13.16%))</f>
        <v>809.34</v>
      </c>
      <c r="N197" s="25" t="n">
        <f aca="false">H197+L197+M197</f>
        <v>11497.5275</v>
      </c>
    </row>
    <row r="198" customFormat="false" ht="17.25" hidden="false" customHeight="true" outlineLevel="0" collapsed="false">
      <c r="A198" s="18" t="n">
        <v>197</v>
      </c>
      <c r="B198" s="19" t="n">
        <v>4168</v>
      </c>
      <c r="C198" s="20" t="s">
        <v>485</v>
      </c>
      <c r="D198" s="20" t="str">
        <f aca="false">VLOOKUP(B198,[2]sales!$B$2:$D$183,3,0)</f>
        <v>Territory Sales Executive</v>
      </c>
      <c r="E198" s="18" t="s">
        <v>477</v>
      </c>
      <c r="F198" s="18" t="s">
        <v>67</v>
      </c>
      <c r="G198" s="18" t="n">
        <f aca="false">VLOOKUP(B198,'[8]Tasty Toast-Apr''18'!B$5:H$61,7,0)</f>
        <v>15000</v>
      </c>
      <c r="H198" s="18" t="n">
        <f aca="false">VLOOKUP(B198,'[8]Tasty Toast-Apr''18'!B$5:N$61,13,0)</f>
        <v>15000</v>
      </c>
      <c r="I198" s="21" t="str">
        <f aca="false">VLOOKUP(B198,[2]sales!$B$2:$G$183,6,0)</f>
        <v>Bakery North</v>
      </c>
      <c r="J198" s="20" t="s">
        <v>300</v>
      </c>
      <c r="K198" s="23" t="s">
        <v>5</v>
      </c>
      <c r="L198" s="25" t="n">
        <f aca="false">IF(H198&gt;21000,0,(H198*4.75%))</f>
        <v>712.5</v>
      </c>
      <c r="M198" s="25" t="n">
        <f aca="false">IF(H198*70%*12%&gt;1800,1974,(H198*70%*12%))</f>
        <v>1260</v>
      </c>
      <c r="N198" s="25" t="n">
        <f aca="false">H198+L198+M198</f>
        <v>16972.5</v>
      </c>
    </row>
    <row r="199" customFormat="false" ht="17.25" hidden="false" customHeight="true" outlineLevel="0" collapsed="false">
      <c r="A199" s="19" t="n">
        <v>198</v>
      </c>
      <c r="B199" s="18" t="n">
        <v>4174</v>
      </c>
      <c r="C199" s="35" t="s">
        <v>486</v>
      </c>
      <c r="D199" s="35" t="s">
        <v>426</v>
      </c>
      <c r="E199" s="18" t="s">
        <v>487</v>
      </c>
      <c r="F199" s="18" t="s">
        <v>338</v>
      </c>
      <c r="G199" s="18" t="n">
        <f aca="false">VLOOKUP(B199,'[3]april (2)'!B$8:H$132,7,0)</f>
        <v>11500</v>
      </c>
      <c r="H199" s="18" t="n">
        <f aca="false">VLOOKUP(B199,'[3]april (2)'!B$8:N$132,13,0)</f>
        <v>11500</v>
      </c>
      <c r="I199" s="22" t="s">
        <v>76</v>
      </c>
      <c r="J199" s="22" t="s">
        <v>76</v>
      </c>
      <c r="K199" s="23" t="s">
        <v>3</v>
      </c>
      <c r="L199" s="24" t="n">
        <f aca="false">IF(H199&gt;23335,0,(H199*90%*4.75%))</f>
        <v>491.625</v>
      </c>
      <c r="M199" s="24" t="n">
        <f aca="false">IF(H199*60%*12%&gt;1800,1974,(H199*60%*13.16%))</f>
        <v>908.04</v>
      </c>
      <c r="N199" s="25" t="n">
        <f aca="false">H199+L199+M199</f>
        <v>12899.665</v>
      </c>
    </row>
    <row r="200" customFormat="false" ht="17.25" hidden="false" customHeight="true" outlineLevel="0" collapsed="false">
      <c r="A200" s="18" t="n">
        <v>199</v>
      </c>
      <c r="B200" s="19" t="n">
        <v>4178</v>
      </c>
      <c r="C200" s="35" t="s">
        <v>488</v>
      </c>
      <c r="D200" s="20" t="str">
        <f aca="false">VLOOKUP(B200,[2]sales!$B$2:$D$183,3,0)</f>
        <v>Territory Sales Executive</v>
      </c>
      <c r="E200" s="18" t="s">
        <v>487</v>
      </c>
      <c r="F200" s="18" t="s">
        <v>67</v>
      </c>
      <c r="G200" s="18" t="n">
        <f aca="false">VLOOKUP(B200,'[7]Mumbai-Apr''18'!B$5:H$26,7,0)</f>
        <v>22200</v>
      </c>
      <c r="H200" s="18" t="n">
        <f aca="false">VLOOKUP(B200,'[7]Mumbai-Apr''18'!B$5:M$26,12,0)</f>
        <v>22200</v>
      </c>
      <c r="I200" s="21" t="str">
        <f aca="false">VLOOKUP(B200,[2]sales!$B$2:$G$183,6,0)</f>
        <v>West</v>
      </c>
      <c r="J200" s="22" t="s">
        <v>9</v>
      </c>
      <c r="K200" s="23" t="s">
        <v>9</v>
      </c>
      <c r="L200" s="25" t="n">
        <f aca="false">IF(H200&gt;21000,0,(H200*4.75%))</f>
        <v>0</v>
      </c>
      <c r="M200" s="25" t="n">
        <f aca="false">IF(H200*70%*12%&gt;1800,1974,(H200*70%*12%))</f>
        <v>1974</v>
      </c>
      <c r="N200" s="25" t="n">
        <f aca="false">H200+L200+M200</f>
        <v>24174</v>
      </c>
    </row>
    <row r="201" customFormat="false" ht="17.25" hidden="false" customHeight="true" outlineLevel="0" collapsed="false">
      <c r="A201" s="19" t="n">
        <v>200</v>
      </c>
      <c r="B201" s="19" t="n">
        <v>4181</v>
      </c>
      <c r="C201" s="20" t="s">
        <v>489</v>
      </c>
      <c r="D201" s="20" t="s">
        <v>490</v>
      </c>
      <c r="E201" s="18" t="s">
        <v>491</v>
      </c>
      <c r="F201" s="18" t="s">
        <v>109</v>
      </c>
      <c r="G201" s="18" t="n">
        <f aca="false">VLOOKUP(B201,'[5]Hosur-Apr''18'!B$5:H$127,7,0)</f>
        <v>15500</v>
      </c>
      <c r="H201" s="18" t="n">
        <f aca="false">VLOOKUP(B201,'[5]Hosur-Apr''18'!B$5:M$127,12,0)</f>
        <v>15500</v>
      </c>
      <c r="I201" s="22" t="s">
        <v>39</v>
      </c>
      <c r="J201" s="22" t="s">
        <v>39</v>
      </c>
      <c r="K201" s="23" t="s">
        <v>7</v>
      </c>
      <c r="L201" s="25" t="n">
        <f aca="false">IF(H201&gt;21000,0,(H201*4.75%))</f>
        <v>736.25</v>
      </c>
      <c r="M201" s="25" t="n">
        <f aca="false">IF(H201*70%*12%&gt;1800,1974,(H201*70%*12%))</f>
        <v>1302</v>
      </c>
      <c r="N201" s="25" t="n">
        <f aca="false">H201+L201+M201</f>
        <v>17538.25</v>
      </c>
    </row>
    <row r="202" customFormat="false" ht="17.25" hidden="false" customHeight="true" outlineLevel="0" collapsed="false">
      <c r="A202" s="18" t="n">
        <v>201</v>
      </c>
      <c r="B202" s="18" t="n">
        <v>4183</v>
      </c>
      <c r="C202" s="27" t="s">
        <v>492</v>
      </c>
      <c r="D202" s="20" t="str">
        <f aca="false">VLOOKUP(B202,[2]sales!$B$2:$D$183,3,0)</f>
        <v>Territory Sales Executive</v>
      </c>
      <c r="E202" s="18" t="s">
        <v>487</v>
      </c>
      <c r="F202" s="18" t="s">
        <v>67</v>
      </c>
      <c r="G202" s="18" t="n">
        <f aca="false">VLOOKUP(B202,'[5]Hosur-Apr''18'!B$5:H$127,7,0)</f>
        <v>21100</v>
      </c>
      <c r="H202" s="18" t="n">
        <f aca="false">VLOOKUP(B202,'[5]Hosur-Apr''18'!B$5:M$127,12,0)</f>
        <v>21100</v>
      </c>
      <c r="I202" s="21" t="str">
        <f aca="false">VLOOKUP(B202,[2]sales!$B$2:$G$183,6,0)</f>
        <v>Karnataka</v>
      </c>
      <c r="J202" s="22" t="s">
        <v>33</v>
      </c>
      <c r="K202" s="23" t="s">
        <v>7</v>
      </c>
      <c r="L202" s="25" t="n">
        <f aca="false">IF(H202&gt;21000,0,(H202*4.75%))</f>
        <v>0</v>
      </c>
      <c r="M202" s="25" t="n">
        <f aca="false">IF(H202*70%*12%&gt;1800,1974,(H202*70%*12%))</f>
        <v>1772.4</v>
      </c>
      <c r="N202" s="25" t="n">
        <f aca="false">H202+L202+M202</f>
        <v>22872.4</v>
      </c>
    </row>
    <row r="203" customFormat="false" ht="17.25" hidden="false" customHeight="true" outlineLevel="0" collapsed="false">
      <c r="A203" s="19" t="n">
        <v>202</v>
      </c>
      <c r="B203" s="19" t="n">
        <v>4188</v>
      </c>
      <c r="C203" s="20" t="s">
        <v>493</v>
      </c>
      <c r="D203" s="20" t="str">
        <f aca="false">VLOOKUP(B203,[2]sales!$B$2:$D$183,3,0)</f>
        <v>Territory Sales Executive</v>
      </c>
      <c r="E203" s="18" t="s">
        <v>494</v>
      </c>
      <c r="F203" s="18"/>
      <c r="G203" s="18" t="n">
        <f aca="false">VLOOKUP(B203,[9]Staff!B$7:H$245,7,0)</f>
        <v>15300</v>
      </c>
      <c r="H203" s="18" t="n">
        <f aca="false">VLOOKUP(B203,[9]Staff!B$7:P$245,15,0)</f>
        <v>15300</v>
      </c>
      <c r="I203" s="21" t="str">
        <f aca="false">VLOOKUP(B203,[2]sales!$B$2:$G$183,6,0)</f>
        <v>Bulk</v>
      </c>
      <c r="J203" s="22" t="s">
        <v>27</v>
      </c>
      <c r="K203" s="23" t="s">
        <v>10</v>
      </c>
      <c r="L203" s="24" t="n">
        <f aca="false">IF(H203&gt;23335,0,(H203*90%*4.75%))</f>
        <v>654.075</v>
      </c>
      <c r="M203" s="24" t="n">
        <f aca="false">IF(H203*60%*12%&gt;1800,1974,(H203*60%*13.16%))</f>
        <v>1208.088</v>
      </c>
      <c r="N203" s="25" t="n">
        <f aca="false">H203+L203+M203</f>
        <v>17162.163</v>
      </c>
    </row>
    <row r="204" customFormat="false" ht="17.25" hidden="false" customHeight="true" outlineLevel="0" collapsed="false">
      <c r="A204" s="18" t="n">
        <v>203</v>
      </c>
      <c r="B204" s="18" t="n">
        <v>4223</v>
      </c>
      <c r="C204" s="27" t="s">
        <v>495</v>
      </c>
      <c r="D204" s="20" t="str">
        <f aca="false">VLOOKUP(B204,[2]sales!$B$2:$D$183,3,0)</f>
        <v>Territory Sales Executive</v>
      </c>
      <c r="E204" s="18" t="s">
        <v>496</v>
      </c>
      <c r="F204" s="18" t="s">
        <v>67</v>
      </c>
      <c r="G204" s="18" t="n">
        <f aca="false">VLOOKUP(B204,'[5]Hosur-Apr''18'!B$5:H$127,7,0)</f>
        <v>20000</v>
      </c>
      <c r="H204" s="18" t="n">
        <f aca="false">VLOOKUP(B204,'[5]Hosur-Apr''18'!B$5:M$127,12,0)</f>
        <v>20000</v>
      </c>
      <c r="I204" s="21" t="str">
        <f aca="false">VLOOKUP(B204,[2]sales!$B$2:$G$183,6,0)</f>
        <v>AP</v>
      </c>
      <c r="J204" s="22" t="s">
        <v>26</v>
      </c>
      <c r="K204" s="23" t="s">
        <v>7</v>
      </c>
      <c r="L204" s="25" t="n">
        <f aca="false">IF(H204&gt;21000,0,(H204*4.75%))</f>
        <v>950</v>
      </c>
      <c r="M204" s="25" t="n">
        <f aca="false">IF(H204*70%*12%&gt;1800,1974,(H204*70%*12%))</f>
        <v>1680</v>
      </c>
      <c r="N204" s="25" t="n">
        <f aca="false">H204+L204+M204</f>
        <v>22630</v>
      </c>
    </row>
    <row r="205" customFormat="false" ht="17.25" hidden="false" customHeight="true" outlineLevel="0" collapsed="false">
      <c r="A205" s="19" t="n">
        <v>204</v>
      </c>
      <c r="B205" s="18" t="n">
        <v>4935</v>
      </c>
      <c r="C205" s="27" t="s">
        <v>497</v>
      </c>
      <c r="D205" s="20" t="str">
        <f aca="false">VLOOKUP(B205,[2]sales!$B$2:$D$183,3,0)</f>
        <v>Territory Sales Executive</v>
      </c>
      <c r="E205" s="18" t="s">
        <v>498</v>
      </c>
      <c r="F205" s="18" t="s">
        <v>67</v>
      </c>
      <c r="G205" s="18" t="n">
        <f aca="false">VLOOKUP(B205,'[5]Hosur-Apr''18'!B$5:H$127,7,0)</f>
        <v>17000</v>
      </c>
      <c r="H205" s="18" t="n">
        <f aca="false">VLOOKUP(B205,'[5]Hosur-Apr''18'!B$5:M$127,12,0)</f>
        <v>17000</v>
      </c>
      <c r="I205" s="21" t="str">
        <f aca="false">VLOOKUP(B205,[2]sales!$B$2:$G$183,6,0)</f>
        <v>Tamilnadu</v>
      </c>
      <c r="J205" s="22" t="s">
        <v>39</v>
      </c>
      <c r="K205" s="23" t="s">
        <v>7</v>
      </c>
      <c r="L205" s="25" t="n">
        <f aca="false">IF(H205&gt;21000,0,(H205*4.75%))</f>
        <v>807.5</v>
      </c>
      <c r="M205" s="25" t="n">
        <f aca="false">IF(H205*70%*12%&gt;1800,1974,(H205*70%*12%))</f>
        <v>1428</v>
      </c>
      <c r="N205" s="25" t="n">
        <f aca="false">H205+L205+M205</f>
        <v>19235.5</v>
      </c>
    </row>
    <row r="206" customFormat="false" ht="17.25" hidden="false" customHeight="true" outlineLevel="0" collapsed="false">
      <c r="A206" s="18" t="n">
        <v>205</v>
      </c>
      <c r="B206" s="18" t="n">
        <v>4936</v>
      </c>
      <c r="C206" s="27" t="s">
        <v>499</v>
      </c>
      <c r="D206" s="20" t="str">
        <f aca="false">VLOOKUP(B206,[2]sales!$B$2:$D$183,3,0)</f>
        <v>Territory Sales Executive</v>
      </c>
      <c r="E206" s="18" t="s">
        <v>498</v>
      </c>
      <c r="F206" s="18" t="s">
        <v>67</v>
      </c>
      <c r="G206" s="18" t="n">
        <f aca="false">VLOOKUP(B206,'[5]Hosur-Apr''18'!B$5:H$127,7,0)</f>
        <v>22500</v>
      </c>
      <c r="H206" s="18" t="n">
        <f aca="false">VLOOKUP(B206,'[5]Hosur-Apr''18'!B$5:M$127,12,0)</f>
        <v>22500</v>
      </c>
      <c r="I206" s="21" t="str">
        <f aca="false">VLOOKUP(B206,[2]sales!$B$2:$G$183,6,0)</f>
        <v>Tamilnadu</v>
      </c>
      <c r="J206" s="22" t="s">
        <v>39</v>
      </c>
      <c r="K206" s="23" t="s">
        <v>7</v>
      </c>
      <c r="L206" s="25" t="n">
        <f aca="false">IF(H206&gt;21000,0,(H206*4.75%))</f>
        <v>0</v>
      </c>
      <c r="M206" s="25" t="n">
        <f aca="false">IF(H206*70%*12%&gt;1800,1974,(H206*70%*12%))</f>
        <v>1974</v>
      </c>
      <c r="N206" s="25" t="n">
        <f aca="false">H206+L206+M206</f>
        <v>24474</v>
      </c>
    </row>
    <row r="207" customFormat="false" ht="17.25" hidden="false" customHeight="true" outlineLevel="0" collapsed="false">
      <c r="A207" s="19" t="n">
        <v>206</v>
      </c>
      <c r="B207" s="18" t="n">
        <v>4942</v>
      </c>
      <c r="C207" s="27" t="s">
        <v>500</v>
      </c>
      <c r="D207" s="20" t="str">
        <f aca="false">VLOOKUP(B207,[2]sales!$B$2:$D$183,3,0)</f>
        <v>Territory Sales Executive</v>
      </c>
      <c r="E207" s="18" t="s">
        <v>501</v>
      </c>
      <c r="F207" s="18" t="s">
        <v>67</v>
      </c>
      <c r="G207" s="18" t="n">
        <f aca="false">VLOOKUP(B207,'[5]Hosur-Apr''18'!B$5:H$127,7,0)</f>
        <v>28000</v>
      </c>
      <c r="H207" s="18" t="n">
        <f aca="false">VLOOKUP(B207,'[5]Hosur-Apr''18'!B$5:M$127,12,0)</f>
        <v>28000</v>
      </c>
      <c r="I207" s="21" t="str">
        <f aca="false">VLOOKUP(B207,[2]sales!$B$2:$G$183,6,0)</f>
        <v>Karnataka</v>
      </c>
      <c r="J207" s="22" t="s">
        <v>33</v>
      </c>
      <c r="K207" s="23" t="s">
        <v>7</v>
      </c>
      <c r="L207" s="25" t="n">
        <f aca="false">IF(H207&gt;21000,0,(H207*4.75%))</f>
        <v>0</v>
      </c>
      <c r="M207" s="25" t="n">
        <f aca="false">IF(H207*70%*12%&gt;1800,1974,(H207*70%*12%))</f>
        <v>1974</v>
      </c>
      <c r="N207" s="25" t="n">
        <f aca="false">H207+L207+M207</f>
        <v>29974</v>
      </c>
    </row>
    <row r="208" customFormat="false" ht="17.25" hidden="false" customHeight="true" outlineLevel="0" collapsed="false">
      <c r="A208" s="18" t="n">
        <v>207</v>
      </c>
      <c r="B208" s="18" t="n">
        <v>4948</v>
      </c>
      <c r="C208" s="27" t="s">
        <v>502</v>
      </c>
      <c r="D208" s="20" t="str">
        <f aca="false">VLOOKUP(B208,[2]sales!$B$2:$D$183,3,0)</f>
        <v>Sr. Territory Sales Executive</v>
      </c>
      <c r="E208" s="18" t="s">
        <v>503</v>
      </c>
      <c r="F208" s="18" t="s">
        <v>79</v>
      </c>
      <c r="G208" s="18" t="n">
        <f aca="false">VLOOKUP(B208,'[5]Hosur-Apr''18'!B$5:H$127,7,0)</f>
        <v>35000</v>
      </c>
      <c r="H208" s="18" t="n">
        <f aca="false">VLOOKUP(B208,'[5]Hosur-Apr''18'!B$5:M$127,12,0)</f>
        <v>35000</v>
      </c>
      <c r="I208" s="21" t="str">
        <f aca="false">VLOOKUP(B208,[2]sales!$B$2:$G$183,6,0)</f>
        <v>AP</v>
      </c>
      <c r="J208" s="22" t="s">
        <v>26</v>
      </c>
      <c r="K208" s="23" t="s">
        <v>7</v>
      </c>
      <c r="L208" s="25" t="n">
        <f aca="false">IF(H208&gt;21000,0,(H208*4.75%))</f>
        <v>0</v>
      </c>
      <c r="M208" s="25" t="n">
        <f aca="false">IF(H208*70%*12%&gt;1800,1974,(H208*70%*12%))</f>
        <v>1974</v>
      </c>
      <c r="N208" s="25" t="n">
        <f aca="false">H208+L208+M208</f>
        <v>36974</v>
      </c>
    </row>
    <row r="209" customFormat="false" ht="17.25" hidden="false" customHeight="true" outlineLevel="0" collapsed="false">
      <c r="A209" s="19" t="n">
        <v>208</v>
      </c>
      <c r="B209" s="19" t="n">
        <v>4235</v>
      </c>
      <c r="C209" s="27" t="s">
        <v>504</v>
      </c>
      <c r="D209" s="27" t="s">
        <v>254</v>
      </c>
      <c r="E209" s="18" t="s">
        <v>505</v>
      </c>
      <c r="F209" s="18" t="s">
        <v>109</v>
      </c>
      <c r="G209" s="18" t="n">
        <f aca="false">VLOOKUP(B209,'[7]Mumbai-Apr''18'!B$5:H$26,7,0)</f>
        <v>16200</v>
      </c>
      <c r="H209" s="18" t="n">
        <f aca="false">VLOOKUP(B209,'[7]Mumbai-Apr''18'!B$5:M$26,12,0)</f>
        <v>16200</v>
      </c>
      <c r="I209" s="22" t="s">
        <v>9</v>
      </c>
      <c r="J209" s="22" t="s">
        <v>9</v>
      </c>
      <c r="K209" s="23" t="s">
        <v>9</v>
      </c>
      <c r="L209" s="25" t="n">
        <f aca="false">IF(H209&gt;21000,0,(H209*4.75%))</f>
        <v>769.5</v>
      </c>
      <c r="M209" s="25" t="n">
        <f aca="false">IF(H209*70%*12%&gt;1800,1974,(H209*70%*12%))</f>
        <v>1360.8</v>
      </c>
      <c r="N209" s="25" t="n">
        <f aca="false">H209+L209+M209</f>
        <v>18330.3</v>
      </c>
    </row>
    <row r="210" customFormat="false" ht="31.5" hidden="false" customHeight="true" outlineLevel="0" collapsed="false">
      <c r="A210" s="18" t="n">
        <v>209</v>
      </c>
      <c r="B210" s="18" t="n">
        <v>4364</v>
      </c>
      <c r="C210" s="40" t="s">
        <v>506</v>
      </c>
      <c r="D210" s="20" t="str">
        <f aca="false">VLOOKUP(B210,[2]sales!$B$2:$D$183,3,0)</f>
        <v>Territory Sales Executive</v>
      </c>
      <c r="E210" s="18" t="s">
        <v>507</v>
      </c>
      <c r="F210" s="18" t="s">
        <v>67</v>
      </c>
      <c r="G210" s="18" t="n">
        <f aca="false">VLOOKUP(B210,'[6]staff klmsy (2)'!$B$7:I$84,8,0)</f>
        <v>15000</v>
      </c>
      <c r="H210" s="18" t="n">
        <f aca="false">VLOOKUP(B210,'[6]staff klmsy (2)'!B$7:R$84,17,0)</f>
        <v>15000</v>
      </c>
      <c r="I210" s="21" t="str">
        <f aca="false">VLOOKUP(B210,[2]sales!$B$2:$G$183,6,0)</f>
        <v>Modern Trade</v>
      </c>
      <c r="J210" s="22" t="s">
        <v>133</v>
      </c>
      <c r="K210" s="23" t="s">
        <v>8</v>
      </c>
      <c r="L210" s="24" t="n">
        <f aca="false">IF(H210&gt;23335,0,(H210*90%*4.75%))</f>
        <v>641.25</v>
      </c>
      <c r="M210" s="24" t="n">
        <f aca="false">IF(H210*60%*12%&gt;1800,1974,(H210*60%*13.16%))</f>
        <v>1184.4</v>
      </c>
      <c r="N210" s="25" t="n">
        <f aca="false">H210+L210+M210</f>
        <v>16825.65</v>
      </c>
    </row>
    <row r="211" customFormat="false" ht="17.25" hidden="false" customHeight="true" outlineLevel="0" collapsed="false">
      <c r="A211" s="19" t="n">
        <v>210</v>
      </c>
      <c r="B211" s="18" t="n">
        <v>4065</v>
      </c>
      <c r="C211" s="20" t="s">
        <v>508</v>
      </c>
      <c r="D211" s="20" t="str">
        <f aca="false">VLOOKUP(B211,[2]sales!$B$2:$D$183,3,0)</f>
        <v>Territory Sales Executive</v>
      </c>
      <c r="E211" s="18" t="s">
        <v>427</v>
      </c>
      <c r="F211" s="18" t="s">
        <v>67</v>
      </c>
      <c r="G211" s="18" t="n">
        <f aca="false">VLOOKUP(B211,'[5]Hosur-Apr''18'!B$5:H$127,7,0)</f>
        <v>15500</v>
      </c>
      <c r="H211" s="18" t="n">
        <f aca="false">VLOOKUP(B211,'[5]Hosur-Apr''18'!B$5:M$127,12,0)</f>
        <v>15500</v>
      </c>
      <c r="I211" s="21" t="str">
        <f aca="false">VLOOKUP(B211,[2]sales!$B$2:$G$183,6,0)</f>
        <v>Tamilnadu</v>
      </c>
      <c r="J211" s="22"/>
      <c r="K211" s="23" t="s">
        <v>7</v>
      </c>
      <c r="L211" s="25" t="n">
        <f aca="false">IF(H211&gt;21000,0,(H211*4.75%))</f>
        <v>736.25</v>
      </c>
      <c r="M211" s="25" t="n">
        <f aca="false">IF(H211*70%*12%&gt;1800,1974,(H211*70%*12%))</f>
        <v>1302</v>
      </c>
      <c r="N211" s="25" t="n">
        <f aca="false">H211+L211+M211</f>
        <v>17538.25</v>
      </c>
    </row>
    <row r="212" customFormat="false" ht="31.5" hidden="false" customHeight="true" outlineLevel="0" collapsed="false">
      <c r="A212" s="18" t="n">
        <v>211</v>
      </c>
      <c r="B212" s="19" t="n">
        <v>4367</v>
      </c>
      <c r="C212" s="20" t="s">
        <v>509</v>
      </c>
      <c r="D212" s="20" t="str">
        <f aca="false">VLOOKUP(B212,[2]sales!$B$2:$D$183,3,0)</f>
        <v>Key Accounts Manager</v>
      </c>
      <c r="E212" s="18" t="s">
        <v>510</v>
      </c>
      <c r="F212" s="18" t="s">
        <v>64</v>
      </c>
      <c r="G212" s="18" t="n">
        <f aca="false">VLOOKUP(B212,'[6]staff klmsy (2)'!$B$7:I$84,8,0)</f>
        <v>46284</v>
      </c>
      <c r="H212" s="18" t="n">
        <f aca="false">VLOOKUP(B212,'[6]staff klmsy (2)'!B$7:R$84,17,0)</f>
        <v>46284</v>
      </c>
      <c r="I212" s="21" t="str">
        <f aca="false">VLOOKUP(B212,[2]sales!$B$2:$G$183,6,0)</f>
        <v>Modern Trade</v>
      </c>
      <c r="J212" s="22" t="s">
        <v>133</v>
      </c>
      <c r="K212" s="23" t="s">
        <v>8</v>
      </c>
      <c r="L212" s="24" t="n">
        <f aca="false">IF(H212&gt;23335,0,(H212*90%*4.75%))</f>
        <v>0</v>
      </c>
      <c r="M212" s="24" t="n">
        <f aca="false">IF(H212*60%*12%&gt;1800,1974,(H212*60%*13.16%))</f>
        <v>1974</v>
      </c>
      <c r="N212" s="25" t="n">
        <f aca="false">H212+L212+M212</f>
        <v>48258</v>
      </c>
    </row>
    <row r="213" customFormat="false" ht="31.5" hidden="false" customHeight="true" outlineLevel="0" collapsed="false">
      <c r="A213" s="19" t="n">
        <v>212</v>
      </c>
      <c r="B213" s="19" t="n">
        <v>4931</v>
      </c>
      <c r="C213" s="20" t="s">
        <v>511</v>
      </c>
      <c r="D213" s="20" t="str">
        <f aca="false">VLOOKUP(B213,[2]sales!$B$2:$D$183,3,0)</f>
        <v>Territory Sales Manager </v>
      </c>
      <c r="E213" s="18" t="s">
        <v>512</v>
      </c>
      <c r="F213" s="18" t="s">
        <v>58</v>
      </c>
      <c r="G213" s="18" t="n">
        <f aca="false">VLOOKUP(B213,'[6]staff klmsy (2)'!$B$7:I$84,8,0)</f>
        <v>34000</v>
      </c>
      <c r="H213" s="18" t="n">
        <f aca="false">VLOOKUP(B213,'[6]staff klmsy (2)'!B$7:R$84,17,0)</f>
        <v>34000</v>
      </c>
      <c r="I213" s="21" t="str">
        <f aca="false">VLOOKUP(B213,[2]sales!$B$2:$G$183,6,0)</f>
        <v>Modern Trade</v>
      </c>
      <c r="J213" s="22" t="s">
        <v>133</v>
      </c>
      <c r="K213" s="23" t="s">
        <v>8</v>
      </c>
      <c r="L213" s="24" t="n">
        <f aca="false">IF(H213&gt;23335,0,(H213*90%*4.75%))</f>
        <v>0</v>
      </c>
      <c r="M213" s="24" t="n">
        <f aca="false">IF(H213*60%*12%&gt;1800,1974,(H213*60%*13.16%))</f>
        <v>1974</v>
      </c>
      <c r="N213" s="25" t="n">
        <f aca="false">H213+L213+M213</f>
        <v>35974</v>
      </c>
    </row>
    <row r="214" customFormat="false" ht="31.5" hidden="false" customHeight="true" outlineLevel="0" collapsed="false">
      <c r="A214" s="18" t="n">
        <v>213</v>
      </c>
      <c r="B214" s="19" t="n">
        <v>4373</v>
      </c>
      <c r="C214" s="20" t="s">
        <v>513</v>
      </c>
      <c r="D214" s="20" t="str">
        <f aca="false">VLOOKUP(B214,[2]sales!$B$2:$D$183,3,0)</f>
        <v>Territory Sales Manager </v>
      </c>
      <c r="E214" s="18" t="s">
        <v>514</v>
      </c>
      <c r="F214" s="18" t="s">
        <v>58</v>
      </c>
      <c r="G214" s="18" t="n">
        <f aca="false">VLOOKUP(B214,'[6]staff klmsy (2)'!$B$7:I$84,8,0)</f>
        <v>35000</v>
      </c>
      <c r="H214" s="18" t="n">
        <f aca="false">VLOOKUP(B214,'[6]staff klmsy (2)'!B$7:R$84,17,0)</f>
        <v>35000</v>
      </c>
      <c r="I214" s="21" t="str">
        <f aca="false">VLOOKUP(B214,[2]sales!$B$2:$G$183,6,0)</f>
        <v>Modern Trade</v>
      </c>
      <c r="J214" s="22" t="s">
        <v>133</v>
      </c>
      <c r="K214" s="23" t="s">
        <v>8</v>
      </c>
      <c r="L214" s="24" t="n">
        <f aca="false">IF(H214&gt;23335,0,(H214*90%*4.75%))</f>
        <v>0</v>
      </c>
      <c r="M214" s="24" t="n">
        <f aca="false">IF(H214*60%*12%&gt;1800,1974,(H214*60%*13.16%))</f>
        <v>1974</v>
      </c>
      <c r="N214" s="25" t="n">
        <f aca="false">H214+L214+M214</f>
        <v>36974</v>
      </c>
    </row>
    <row r="215" customFormat="false" ht="31.5" hidden="false" customHeight="true" outlineLevel="0" collapsed="false">
      <c r="A215" s="19" t="n">
        <v>214</v>
      </c>
      <c r="B215" s="18" t="n">
        <v>4374</v>
      </c>
      <c r="C215" s="20" t="s">
        <v>515</v>
      </c>
      <c r="D215" s="20" t="str">
        <f aca="false">VLOOKUP(B215,[2]sales!$B$2:$D$183,3,0)</f>
        <v>Territory Sales Executive</v>
      </c>
      <c r="E215" s="18" t="s">
        <v>516</v>
      </c>
      <c r="F215" s="18" t="s">
        <v>67</v>
      </c>
      <c r="G215" s="18" t="n">
        <f aca="false">VLOOKUP(B215,'[6]staff klmsy (2)'!$B$7:I$84,8,0)</f>
        <v>13500</v>
      </c>
      <c r="H215" s="18" t="n">
        <f aca="false">VLOOKUP(B215,'[6]staff klmsy (2)'!B$7:R$84,17,0)</f>
        <v>13500</v>
      </c>
      <c r="I215" s="21" t="str">
        <f aca="false">VLOOKUP(B215,[2]sales!$B$2:$G$183,6,0)</f>
        <v>Bakery South</v>
      </c>
      <c r="J215" s="22" t="s">
        <v>517</v>
      </c>
      <c r="K215" s="23" t="s">
        <v>8</v>
      </c>
      <c r="L215" s="24" t="n">
        <f aca="false">IF(H215&gt;23335,0,(H215*90%*4.75%))</f>
        <v>577.125</v>
      </c>
      <c r="M215" s="24" t="n">
        <f aca="false">IF(H215*60%*12%&gt;1800,1974,(H215*60%*13.16%))</f>
        <v>1065.96</v>
      </c>
      <c r="N215" s="25" t="n">
        <f aca="false">H215+L215+M215</f>
        <v>15143.085</v>
      </c>
    </row>
    <row r="216" customFormat="false" ht="31.5" hidden="false" customHeight="true" outlineLevel="0" collapsed="false">
      <c r="A216" s="18" t="n">
        <v>215</v>
      </c>
      <c r="B216" s="19" t="n">
        <v>4375</v>
      </c>
      <c r="C216" s="26" t="s">
        <v>518</v>
      </c>
      <c r="D216" s="20" t="str">
        <f aca="false">VLOOKUP(B216,[2]sales!$B$2:$D$183,3,0)</f>
        <v>Territory Sales Executive</v>
      </c>
      <c r="E216" s="18" t="s">
        <v>516</v>
      </c>
      <c r="F216" s="18" t="s">
        <v>67</v>
      </c>
      <c r="G216" s="18" t="n">
        <f aca="false">VLOOKUP(B216,'[6]staff klmsy (2)'!$B$7:I$84,8,0)</f>
        <v>14500</v>
      </c>
      <c r="H216" s="18" t="n">
        <f aca="false">VLOOKUP(B216,'[6]staff klmsy (2)'!B$7:R$84,17,0)</f>
        <v>14500</v>
      </c>
      <c r="I216" s="21" t="str">
        <f aca="false">VLOOKUP(B216,[2]sales!$B$2:$G$183,6,0)</f>
        <v>Bakery South</v>
      </c>
      <c r="J216" s="22" t="s">
        <v>397</v>
      </c>
      <c r="K216" s="23" t="s">
        <v>8</v>
      </c>
      <c r="L216" s="24" t="n">
        <f aca="false">IF(H216&gt;23335,0,(H216*90%*4.75%))</f>
        <v>619.875</v>
      </c>
      <c r="M216" s="24" t="n">
        <f aca="false">IF(H216*60%*12%&gt;1800,1974,(H216*60%*13.16%))</f>
        <v>1144.92</v>
      </c>
      <c r="N216" s="25" t="n">
        <f aca="false">H216+L216+M216</f>
        <v>16264.795</v>
      </c>
    </row>
    <row r="217" customFormat="false" ht="17.25" hidden="false" customHeight="true" outlineLevel="0" collapsed="false">
      <c r="A217" s="19" t="n">
        <v>216</v>
      </c>
      <c r="B217" s="19" t="n">
        <v>4412</v>
      </c>
      <c r="C217" s="27" t="s">
        <v>519</v>
      </c>
      <c r="D217" s="20" t="str">
        <f aca="false">VLOOKUP(B217,[2]sales!$B$2:$D$183,3,0)</f>
        <v>Territory Sales Executive</v>
      </c>
      <c r="E217" s="18" t="s">
        <v>520</v>
      </c>
      <c r="F217" s="18" t="s">
        <v>67</v>
      </c>
      <c r="G217" s="18" t="n">
        <f aca="false">VLOOKUP(B217,'[7]Mumbai-Apr''18'!B$5:H$26,7,0)</f>
        <v>22000</v>
      </c>
      <c r="H217" s="18" t="n">
        <f aca="false">VLOOKUP(B217,'[7]Mumbai-Apr''18'!B$5:M$26,12,0)</f>
        <v>22000</v>
      </c>
      <c r="I217" s="21" t="str">
        <f aca="false">VLOOKUP(B217,[2]sales!$B$2:$G$183,6,0)</f>
        <v>West</v>
      </c>
      <c r="J217" s="22" t="s">
        <v>9</v>
      </c>
      <c r="K217" s="23" t="s">
        <v>9</v>
      </c>
      <c r="L217" s="25" t="n">
        <f aca="false">IF(H217&gt;21000,0,(H217*4.75%))</f>
        <v>0</v>
      </c>
      <c r="M217" s="25" t="n">
        <f aca="false">IF(H217*70%*12%&gt;1800,1974,(H217*70%*12%))</f>
        <v>1974</v>
      </c>
      <c r="N217" s="25" t="n">
        <f aca="false">H217+L217+M217</f>
        <v>23974</v>
      </c>
    </row>
    <row r="218" customFormat="false" ht="31.5" hidden="false" customHeight="true" outlineLevel="0" collapsed="false">
      <c r="A218" s="18" t="n">
        <v>217</v>
      </c>
      <c r="B218" s="18" t="n">
        <v>4425</v>
      </c>
      <c r="C218" s="40" t="s">
        <v>521</v>
      </c>
      <c r="D218" s="20" t="str">
        <f aca="false">VLOOKUP(B218,[2]sales!$B$2:$D$183,3,0)</f>
        <v>Territory Sales Executive</v>
      </c>
      <c r="E218" s="18" t="s">
        <v>522</v>
      </c>
      <c r="F218" s="18" t="s">
        <v>67</v>
      </c>
      <c r="G218" s="18" t="n">
        <f aca="false">VLOOKUP(B218,'[6]staff klmsy (2)'!$B$7:I$84,8,0)</f>
        <v>24000</v>
      </c>
      <c r="H218" s="18" t="n">
        <f aca="false">VLOOKUP(B218,'[6]staff klmsy (2)'!B$7:R$84,17,0)</f>
        <v>24000</v>
      </c>
      <c r="I218" s="21" t="str">
        <f aca="false">VLOOKUP(B218,[2]sales!$B$2:$G$183,6,0)</f>
        <v>Modern Trade</v>
      </c>
      <c r="J218" s="22" t="s">
        <v>133</v>
      </c>
      <c r="K218" s="23" t="s">
        <v>8</v>
      </c>
      <c r="L218" s="24" t="n">
        <f aca="false">IF(H218&gt;23335,0,(H218*90%*4.75%))</f>
        <v>0</v>
      </c>
      <c r="M218" s="24" t="n">
        <f aca="false">IF(H218*60%*12%&gt;1800,1974,(H218*60%*13.16%))</f>
        <v>1895.04</v>
      </c>
      <c r="N218" s="25" t="n">
        <f aca="false">H218+L218+M218</f>
        <v>25895.04</v>
      </c>
    </row>
    <row r="219" customFormat="false" ht="31.5" hidden="false" customHeight="true" outlineLevel="0" collapsed="false">
      <c r="A219" s="19" t="n">
        <v>218</v>
      </c>
      <c r="B219" s="19" t="n">
        <v>4428</v>
      </c>
      <c r="C219" s="20" t="s">
        <v>523</v>
      </c>
      <c r="D219" s="20" t="str">
        <f aca="false">VLOOKUP(B219,[2]sales!$B$2:$D$183,3,0)</f>
        <v>Territory Sales Executive</v>
      </c>
      <c r="E219" s="18" t="s">
        <v>524</v>
      </c>
      <c r="F219" s="18" t="s">
        <v>67</v>
      </c>
      <c r="G219" s="18" t="n">
        <f aca="false">VLOOKUP(B219,'[6]staff klmsy (2)'!$B$7:I$84,8,0)</f>
        <v>15000</v>
      </c>
      <c r="H219" s="18" t="n">
        <f aca="false">VLOOKUP(B219,'[6]staff klmsy (2)'!B$7:R$84,17,0)</f>
        <v>15000</v>
      </c>
      <c r="I219" s="21" t="str">
        <f aca="false">VLOOKUP(B219,[2]sales!$B$2:$G$183,6,0)</f>
        <v>Bakery South</v>
      </c>
      <c r="J219" s="22" t="s">
        <v>328</v>
      </c>
      <c r="K219" s="23" t="s">
        <v>8</v>
      </c>
      <c r="L219" s="24" t="n">
        <f aca="false">IF(H219&gt;23335,0,(H219*90%*4.75%))</f>
        <v>641.25</v>
      </c>
      <c r="M219" s="24" t="n">
        <f aca="false">IF(H219*60%*12%&gt;1800,1974,(H219*60%*13.16%))</f>
        <v>1184.4</v>
      </c>
      <c r="N219" s="25" t="n">
        <f aca="false">H219+L219+M219</f>
        <v>16825.65</v>
      </c>
    </row>
    <row r="220" customFormat="false" ht="17.25" hidden="false" customHeight="true" outlineLevel="0" collapsed="false">
      <c r="A220" s="18" t="n">
        <v>219</v>
      </c>
      <c r="B220" s="19" t="n">
        <v>4432</v>
      </c>
      <c r="C220" s="35" t="s">
        <v>525</v>
      </c>
      <c r="D220" s="20" t="str">
        <f aca="false">VLOOKUP(B220,[2]sales!$B$2:$D$183,3,0)</f>
        <v>Territory Sales Executive</v>
      </c>
      <c r="E220" s="18" t="s">
        <v>524</v>
      </c>
      <c r="F220" s="18" t="s">
        <v>67</v>
      </c>
      <c r="G220" s="18" t="n">
        <f aca="false">VLOOKUP(B220,'[7]Mumbai-Apr''18'!B$5:H$26,7,0)</f>
        <v>23000</v>
      </c>
      <c r="H220" s="18" t="n">
        <f aca="false">VLOOKUP(B220,'[7]Mumbai-Apr''18'!B$5:M$26,12,0)</f>
        <v>23000</v>
      </c>
      <c r="I220" s="21" t="str">
        <f aca="false">VLOOKUP(B220,[2]sales!$B$2:$G$183,6,0)</f>
        <v>West</v>
      </c>
      <c r="J220" s="22" t="s">
        <v>526</v>
      </c>
      <c r="K220" s="23" t="s">
        <v>9</v>
      </c>
      <c r="L220" s="25" t="n">
        <f aca="false">IF(H220&gt;21000,0,(H220*4.75%))</f>
        <v>0</v>
      </c>
      <c r="M220" s="25" t="n">
        <f aca="false">IF(H220*70%*12%&gt;1800,1974,(H220*70%*12%))</f>
        <v>1974</v>
      </c>
      <c r="N220" s="25" t="n">
        <f aca="false">H220+L220+M220</f>
        <v>24974</v>
      </c>
    </row>
    <row r="221" customFormat="false" ht="17.25" hidden="false" customHeight="true" outlineLevel="0" collapsed="false">
      <c r="A221" s="19" t="n">
        <v>220</v>
      </c>
      <c r="B221" s="19" t="n">
        <v>4434</v>
      </c>
      <c r="C221" s="20" t="s">
        <v>527</v>
      </c>
      <c r="D221" s="20" t="str">
        <f aca="false">VLOOKUP(B221,[2]sales!$B$2:$D$183,3,0)</f>
        <v>Territory Sales Executive</v>
      </c>
      <c r="E221" s="18" t="s">
        <v>528</v>
      </c>
      <c r="F221" s="18" t="s">
        <v>67</v>
      </c>
      <c r="G221" s="18" t="n">
        <f aca="false">VLOOKUP(B221,'[5]Hosur-Apr''18'!B$5:H$127,7,0)</f>
        <v>21500</v>
      </c>
      <c r="H221" s="18" t="n">
        <f aca="false">VLOOKUP(B221,'[5]Hosur-Apr''18'!B$5:M$127,12,0)</f>
        <v>21500</v>
      </c>
      <c r="I221" s="21" t="str">
        <f aca="false">VLOOKUP(B221,[2]sales!$B$2:$G$183,6,0)</f>
        <v>Karnataka</v>
      </c>
      <c r="J221" s="22" t="s">
        <v>33</v>
      </c>
      <c r="K221" s="23" t="s">
        <v>7</v>
      </c>
      <c r="L221" s="25" t="n">
        <f aca="false">IF(H221&gt;21000,0,(H221*4.75%))</f>
        <v>0</v>
      </c>
      <c r="M221" s="25" t="n">
        <f aca="false">IF(H221*70%*12%&gt;1800,1974,(H221*70%*12%))</f>
        <v>1974</v>
      </c>
      <c r="N221" s="25" t="n">
        <f aca="false">H221+L221+M221</f>
        <v>23474</v>
      </c>
    </row>
    <row r="222" customFormat="false" ht="17.25" hidden="false" customHeight="true" outlineLevel="0" collapsed="false">
      <c r="A222" s="18" t="n">
        <v>221</v>
      </c>
      <c r="B222" s="19" t="n">
        <v>4437</v>
      </c>
      <c r="C222" s="20" t="s">
        <v>529</v>
      </c>
      <c r="D222" s="20" t="str">
        <f aca="false">VLOOKUP(B222,[2]sales!$B$2:$D$183,3,0)</f>
        <v>Territory Sales Executive</v>
      </c>
      <c r="E222" s="18" t="s">
        <v>530</v>
      </c>
      <c r="F222" s="18" t="s">
        <v>67</v>
      </c>
      <c r="G222" s="18" t="n">
        <f aca="false">VLOOKUP(B222,[9]Staff!B$7:H$245,7,0)</f>
        <v>15000</v>
      </c>
      <c r="H222" s="18" t="n">
        <f aca="false">VLOOKUP(B222,[9]Staff!B$7:P$245,15,0)</f>
        <v>15000</v>
      </c>
      <c r="I222" s="21" t="str">
        <f aca="false">VLOOKUP(B222,[2]sales!$B$2:$G$183,6,0)</f>
        <v>Bulk</v>
      </c>
      <c r="J222" s="22" t="s">
        <v>27</v>
      </c>
      <c r="K222" s="41" t="s">
        <v>10</v>
      </c>
      <c r="L222" s="24" t="n">
        <f aca="false">IF(H222&gt;23335,0,(H222*90%*4.75%))</f>
        <v>641.25</v>
      </c>
      <c r="M222" s="24" t="n">
        <f aca="false">IF(H222*60%*12%&gt;1800,1974,(H222*60%*13.16%))</f>
        <v>1184.4</v>
      </c>
      <c r="N222" s="25" t="n">
        <f aca="false">H222+L222+M222</f>
        <v>16825.65</v>
      </c>
    </row>
    <row r="223" customFormat="false" ht="17.25" hidden="false" customHeight="true" outlineLevel="0" collapsed="false">
      <c r="A223" s="19" t="n">
        <v>222</v>
      </c>
      <c r="B223" s="18" t="n">
        <v>4438</v>
      </c>
      <c r="C223" s="26" t="s">
        <v>531</v>
      </c>
      <c r="D223" s="20" t="s">
        <v>426</v>
      </c>
      <c r="E223" s="18" t="s">
        <v>530</v>
      </c>
      <c r="F223" s="18" t="s">
        <v>338</v>
      </c>
      <c r="G223" s="18" t="n">
        <f aca="false">VLOOKUP(B223,'[3]april (2)'!B$8:H$132,7,0)</f>
        <v>12000</v>
      </c>
      <c r="H223" s="18" t="n">
        <f aca="false">VLOOKUP(B223,'[3]april (2)'!B$8:N$132,13,0)</f>
        <v>10800</v>
      </c>
      <c r="I223" s="22" t="s">
        <v>76</v>
      </c>
      <c r="J223" s="22" t="s">
        <v>76</v>
      </c>
      <c r="K223" s="23" t="s">
        <v>3</v>
      </c>
      <c r="L223" s="24" t="n">
        <f aca="false">IF(H223&gt;23335,0,(H223*90%*4.75%))</f>
        <v>461.7</v>
      </c>
      <c r="M223" s="24" t="n">
        <f aca="false">IF(H223*60%*12%&gt;1800,1974,(H223*60%*13.16%))</f>
        <v>852.768</v>
      </c>
      <c r="N223" s="25" t="n">
        <f aca="false">H223+L223+M223</f>
        <v>12114.468</v>
      </c>
    </row>
    <row r="224" customFormat="false" ht="17.25" hidden="false" customHeight="true" outlineLevel="0" collapsed="false">
      <c r="A224" s="18" t="n">
        <v>223</v>
      </c>
      <c r="B224" s="18" t="n">
        <v>4937</v>
      </c>
      <c r="C224" s="26" t="s">
        <v>532</v>
      </c>
      <c r="D224" s="20" t="str">
        <f aca="false">VLOOKUP(B224,[2]sales!$B$2:$D$183,3,0)</f>
        <v>Territory Sales Executive</v>
      </c>
      <c r="E224" s="18" t="s">
        <v>533</v>
      </c>
      <c r="F224" s="18" t="s">
        <v>67</v>
      </c>
      <c r="G224" s="18" t="n">
        <f aca="false">VLOOKUP(B224,'[3]april (2)'!B$8:H$132,7,0)</f>
        <v>18000</v>
      </c>
      <c r="H224" s="18" t="n">
        <f aca="false">VLOOKUP(B224,'[3]april (2)'!B$8:N$132,13,0)</f>
        <v>18000</v>
      </c>
      <c r="I224" s="21" t="str">
        <f aca="false">VLOOKUP(B224,[2]sales!$B$2:$G$183,6,0)</f>
        <v>Bakery South</v>
      </c>
      <c r="J224" s="22" t="s">
        <v>534</v>
      </c>
      <c r="K224" s="23" t="s">
        <v>3</v>
      </c>
      <c r="L224" s="24" t="n">
        <f aca="false">IF(H224&gt;23335,0,(H224*90%*4.75%))</f>
        <v>769.5</v>
      </c>
      <c r="M224" s="24" t="n">
        <f aca="false">IF(H224*60%*12%&gt;1800,1974,(H224*60%*13.16%))</f>
        <v>1421.28</v>
      </c>
      <c r="N224" s="25" t="n">
        <f aca="false">H224+L224+M224</f>
        <v>20190.78</v>
      </c>
    </row>
    <row r="225" customFormat="false" ht="17.25" hidden="false" customHeight="true" outlineLevel="0" collapsed="false">
      <c r="A225" s="19" t="n">
        <v>224</v>
      </c>
      <c r="B225" s="18" t="n">
        <v>4947</v>
      </c>
      <c r="C225" s="26" t="s">
        <v>535</v>
      </c>
      <c r="D225" s="20" t="str">
        <f aca="false">VLOOKUP(B225,[2]sales!$B$2:$D$183,3,0)</f>
        <v>Area Sales Manager</v>
      </c>
      <c r="E225" s="18" t="s">
        <v>503</v>
      </c>
      <c r="F225" s="18" t="s">
        <v>64</v>
      </c>
      <c r="G225" s="18" t="n">
        <f aca="false">VLOOKUP(B225,'[3]april (2)'!B$8:H$132,7,0)</f>
        <v>50000</v>
      </c>
      <c r="H225" s="18" t="n">
        <f aca="false">VLOOKUP(B225,'[3]april (2)'!B$8:N$132,13,0)</f>
        <v>50000</v>
      </c>
      <c r="I225" s="21" t="str">
        <f aca="false">VLOOKUP(B225,[2]sales!$B$2:$G$183,6,0)</f>
        <v>CPD North</v>
      </c>
      <c r="J225" s="22" t="s">
        <v>534</v>
      </c>
      <c r="K225" s="23" t="s">
        <v>3</v>
      </c>
      <c r="L225" s="24" t="n">
        <f aca="false">IF(H225&gt;23335,0,(H225*90%*4.75%))</f>
        <v>0</v>
      </c>
      <c r="M225" s="24" t="n">
        <f aca="false">IF(H225*60%*12%&gt;1800,1974,(H225*60%*13.16%))</f>
        <v>1974</v>
      </c>
      <c r="N225" s="25" t="n">
        <f aca="false">H225+L225+M225</f>
        <v>51974</v>
      </c>
    </row>
    <row r="226" customFormat="false" ht="17.25" hidden="false" customHeight="true" outlineLevel="0" collapsed="false">
      <c r="A226" s="18" t="n">
        <v>225</v>
      </c>
      <c r="B226" s="18" t="n">
        <v>4442</v>
      </c>
      <c r="C226" s="20" t="s">
        <v>536</v>
      </c>
      <c r="D226" s="20" t="s">
        <v>107</v>
      </c>
      <c r="E226" s="18" t="s">
        <v>537</v>
      </c>
      <c r="F226" s="18" t="s">
        <v>338</v>
      </c>
      <c r="G226" s="18" t="n">
        <f aca="false">VLOOKUP(B226,'[5]Hosur-Apr''18'!B$5:H$127,7,0)</f>
        <v>9000</v>
      </c>
      <c r="H226" s="18" t="n">
        <f aca="false">VLOOKUP(B226,'[5]Hosur-Apr''18'!B$5:M$127,12,0)</f>
        <v>9000</v>
      </c>
      <c r="I226" s="22" t="s">
        <v>133</v>
      </c>
      <c r="J226" s="22" t="s">
        <v>133</v>
      </c>
      <c r="K226" s="23" t="s">
        <v>7</v>
      </c>
      <c r="L226" s="25" t="n">
        <f aca="false">IF(H226&gt;21000,0,(H226*4.75%))</f>
        <v>427.5</v>
      </c>
      <c r="M226" s="25" t="n">
        <f aca="false">IF(H226*70%*12%&gt;1800,1974,(H226*70%*12%))</f>
        <v>756</v>
      </c>
      <c r="N226" s="25" t="n">
        <f aca="false">H226+L226+M226</f>
        <v>10183.5</v>
      </c>
    </row>
    <row r="227" customFormat="false" ht="17.25" hidden="false" customHeight="false" outlineLevel="0" collapsed="false">
      <c r="A227" s="19" t="n">
        <v>226</v>
      </c>
      <c r="B227" s="19" t="n">
        <v>4445</v>
      </c>
      <c r="C227" s="20" t="s">
        <v>538</v>
      </c>
      <c r="D227" s="20" t="str">
        <f aca="false">VLOOKUP(B227,[2]sales!$B$2:$D$183,3,0)</f>
        <v>Territory Sales Executive</v>
      </c>
      <c r="E227" s="18" t="s">
        <v>539</v>
      </c>
      <c r="F227" s="18" t="s">
        <v>67</v>
      </c>
      <c r="G227" s="18" t="n">
        <f aca="false">VLOOKUP(B227,'[4]salary aroor'!B$7:H$52,7,0)</f>
        <v>16000</v>
      </c>
      <c r="H227" s="18" t="n">
        <f aca="false">VLOOKUP(B227,'[4]salary aroor'!B$7:L$52,11,0)</f>
        <v>16000</v>
      </c>
      <c r="I227" s="21" t="str">
        <f aca="false">VLOOKUP(B227,[2]sales!$B$2:$G$183,6,0)</f>
        <v>Bakery South</v>
      </c>
      <c r="J227" s="22" t="s">
        <v>397</v>
      </c>
      <c r="K227" s="23" t="s">
        <v>4</v>
      </c>
      <c r="L227" s="24" t="n">
        <f aca="false">IF(H227&gt;23335,0,(H227*90%*4.75%))</f>
        <v>684</v>
      </c>
      <c r="M227" s="24" t="n">
        <f aca="false">IF(H227*60%*12%&gt;1800,1974,(H227*60%*13.16%))</f>
        <v>1263.36</v>
      </c>
      <c r="N227" s="25" t="n">
        <f aca="false">H227+L227+M227</f>
        <v>17947.36</v>
      </c>
    </row>
    <row r="228" customFormat="false" ht="17.25" hidden="false" customHeight="true" outlineLevel="0" collapsed="false">
      <c r="A228" s="18" t="n">
        <v>227</v>
      </c>
      <c r="B228" s="18" t="n">
        <v>4484</v>
      </c>
      <c r="C228" s="35" t="s">
        <v>540</v>
      </c>
      <c r="D228" s="20" t="str">
        <f aca="false">VLOOKUP(B228,[2]sales!$B$2:$D$183,3,0)</f>
        <v>Territory Sales Executive</v>
      </c>
      <c r="E228" s="18" t="s">
        <v>541</v>
      </c>
      <c r="F228" s="18" t="s">
        <v>67</v>
      </c>
      <c r="G228" s="18" t="n">
        <f aca="false">VLOOKUP(B228,'[3]april (2)'!B$8:H$132,7,0)</f>
        <v>18700</v>
      </c>
      <c r="H228" s="28" t="n">
        <f aca="false">VLOOKUP(B228,'[3]april (2)'!B$8:N$132,13,0)</f>
        <v>17453.33</v>
      </c>
      <c r="I228" s="21" t="str">
        <f aca="false">VLOOKUP(B228,[2]sales!$B$2:$G$183,6,0)</f>
        <v>CPD North</v>
      </c>
      <c r="J228" s="22" t="s">
        <v>76</v>
      </c>
      <c r="K228" s="23" t="s">
        <v>3</v>
      </c>
      <c r="L228" s="24" t="n">
        <f aca="false">IF(H228&gt;23335,0,(H228*90%*4.75%))</f>
        <v>746.1298575</v>
      </c>
      <c r="M228" s="24" t="n">
        <f aca="false">IF(H228*60%*12%&gt;1800,1974,(H228*60%*13.16%))</f>
        <v>1378.1149368</v>
      </c>
      <c r="N228" s="25" t="n">
        <f aca="false">H228+L228+M228</f>
        <v>19577.5747943</v>
      </c>
    </row>
    <row r="229" customFormat="false" ht="31.5" hidden="false" customHeight="true" outlineLevel="0" collapsed="false">
      <c r="A229" s="19" t="n">
        <v>228</v>
      </c>
      <c r="B229" s="18" t="n">
        <v>4485</v>
      </c>
      <c r="C229" s="20" t="s">
        <v>542</v>
      </c>
      <c r="D229" s="20" t="str">
        <f aca="false">VLOOKUP(B229,[2]sales!$B$2:$D$183,3,0)</f>
        <v>Territory Sales Executive</v>
      </c>
      <c r="E229" s="18" t="s">
        <v>543</v>
      </c>
      <c r="F229" s="18" t="s">
        <v>67</v>
      </c>
      <c r="G229" s="18" t="n">
        <f aca="false">VLOOKUP(B229,'[6]staff klmsy (2)'!$B$7:I$84,8,0)</f>
        <v>14500</v>
      </c>
      <c r="H229" s="18" t="n">
        <f aca="false">VLOOKUP(B229,'[6]staff klmsy (2)'!B$7:R$84,17,0)</f>
        <v>14500</v>
      </c>
      <c r="I229" s="21" t="str">
        <f aca="false">VLOOKUP(B229,[2]sales!$B$2:$G$183,6,0)</f>
        <v>Bakery South</v>
      </c>
      <c r="J229" s="22" t="s">
        <v>84</v>
      </c>
      <c r="K229" s="23" t="s">
        <v>8</v>
      </c>
      <c r="L229" s="24" t="n">
        <f aca="false">IF(H229&gt;23335,0,(H229*90%*4.75%))</f>
        <v>619.875</v>
      </c>
      <c r="M229" s="24" t="n">
        <f aca="false">IF(H229*60%*12%&gt;1800,1974,(H229*60%*13.16%))</f>
        <v>1144.92</v>
      </c>
      <c r="N229" s="25" t="n">
        <f aca="false">H229+L229+M229</f>
        <v>16264.795</v>
      </c>
    </row>
    <row r="230" customFormat="false" ht="17.25" hidden="false" customHeight="true" outlineLevel="0" collapsed="false">
      <c r="A230" s="18" t="n">
        <v>229</v>
      </c>
      <c r="B230" s="19" t="n">
        <v>4486</v>
      </c>
      <c r="C230" s="20" t="s">
        <v>544</v>
      </c>
      <c r="D230" s="20" t="s">
        <v>545</v>
      </c>
      <c r="E230" s="18" t="s">
        <v>546</v>
      </c>
      <c r="F230" s="18" t="s">
        <v>109</v>
      </c>
      <c r="G230" s="18" t="n">
        <f aca="false">VLOOKUP(B230,[9]Staff!B$7:H$245,7,0)</f>
        <v>12000</v>
      </c>
      <c r="H230" s="18" t="n">
        <f aca="false">VLOOKUP(B230,[9]Staff!B$7:P$245,15,0)</f>
        <v>12000</v>
      </c>
      <c r="I230" s="22" t="s">
        <v>27</v>
      </c>
      <c r="J230" s="22" t="s">
        <v>27</v>
      </c>
      <c r="K230" s="23" t="s">
        <v>10</v>
      </c>
      <c r="L230" s="24" t="n">
        <f aca="false">IF(H230&gt;23335,0,(H230*90%*4.75%))</f>
        <v>513</v>
      </c>
      <c r="M230" s="24" t="n">
        <f aca="false">IF(H230*60%*12%&gt;1800,1974,(H230*60%*13.16%))</f>
        <v>947.52</v>
      </c>
      <c r="N230" s="25" t="n">
        <f aca="false">H230+L230+M230</f>
        <v>13460.52</v>
      </c>
    </row>
    <row r="231" customFormat="false" ht="17.25" hidden="false" customHeight="true" outlineLevel="0" collapsed="false">
      <c r="A231" s="19" t="n">
        <v>230</v>
      </c>
      <c r="B231" s="19" t="n">
        <v>4487</v>
      </c>
      <c r="C231" s="35" t="s">
        <v>547</v>
      </c>
      <c r="D231" s="20" t="str">
        <f aca="false">VLOOKUP(B231,[2]sales!$B$2:$D$183,3,0)</f>
        <v>Territory Sales Executive</v>
      </c>
      <c r="E231" s="18" t="s">
        <v>548</v>
      </c>
      <c r="F231" s="18" t="s">
        <v>67</v>
      </c>
      <c r="G231" s="18" t="n">
        <f aca="false">VLOOKUP(B231,'[7]Mumbai-Apr''18'!B$5:H$26,7,0)</f>
        <v>20000</v>
      </c>
      <c r="H231" s="18" t="n">
        <f aca="false">VLOOKUP(B231,'[7]Mumbai-Apr''18'!B$5:M$26,12,0)</f>
        <v>20000</v>
      </c>
      <c r="I231" s="21" t="str">
        <f aca="false">VLOOKUP(B231,[2]sales!$B$2:$G$183,6,0)</f>
        <v>West</v>
      </c>
      <c r="J231" s="22" t="s">
        <v>526</v>
      </c>
      <c r="K231" s="23" t="s">
        <v>9</v>
      </c>
      <c r="L231" s="25" t="n">
        <f aca="false">IF(H231&gt;21000,0,(H231*4.75%))</f>
        <v>950</v>
      </c>
      <c r="M231" s="25" t="n">
        <f aca="false">IF(H231*70%*12%&gt;1800,1974,(H231*70%*12%))</f>
        <v>1680</v>
      </c>
      <c r="N231" s="25" t="n">
        <f aca="false">H231+L231+M231</f>
        <v>22630</v>
      </c>
    </row>
    <row r="232" customFormat="false" ht="31.5" hidden="false" customHeight="true" outlineLevel="0" collapsed="false">
      <c r="A232" s="18" t="n">
        <v>231</v>
      </c>
      <c r="B232" s="19" t="n">
        <v>4938</v>
      </c>
      <c r="C232" s="20" t="s">
        <v>549</v>
      </c>
      <c r="D232" s="20" t="str">
        <f aca="false">VLOOKUP(B232,[2]sales!$B$2:$D$183,3,0)</f>
        <v>Territory Sales Executive</v>
      </c>
      <c r="E232" s="18" t="s">
        <v>533</v>
      </c>
      <c r="F232" s="18" t="s">
        <v>67</v>
      </c>
      <c r="G232" s="18" t="n">
        <f aca="false">VLOOKUP(B232,'[6]staff klmsy (2)'!$B$7:I$84,8,0)</f>
        <v>21000</v>
      </c>
      <c r="H232" s="18" t="n">
        <f aca="false">VLOOKUP(B232,'[6]staff klmsy (2)'!B$7:R$84,17,0)</f>
        <v>21000</v>
      </c>
      <c r="I232" s="21" t="str">
        <f aca="false">VLOOKUP(B232,[2]sales!$B$2:$G$183,6,0)</f>
        <v>Modern Trade</v>
      </c>
      <c r="J232" s="22" t="s">
        <v>133</v>
      </c>
      <c r="K232" s="23" t="s">
        <v>8</v>
      </c>
      <c r="L232" s="24" t="n">
        <f aca="false">IF(H232&gt;23335,0,(H232*90%*4.75%))</f>
        <v>897.75</v>
      </c>
      <c r="M232" s="24" t="n">
        <f aca="false">IF(H232*60%*12%&gt;1800,1974,(H232*60%*13.16%))</f>
        <v>1658.16</v>
      </c>
      <c r="N232" s="25" t="n">
        <f aca="false">H232+L232+M232</f>
        <v>23555.91</v>
      </c>
    </row>
    <row r="233" customFormat="false" ht="17.25" hidden="false" customHeight="true" outlineLevel="0" collapsed="false">
      <c r="A233" s="19" t="n">
        <v>232</v>
      </c>
      <c r="B233" s="19" t="n">
        <v>4496</v>
      </c>
      <c r="C233" s="20" t="s">
        <v>550</v>
      </c>
      <c r="D233" s="20" t="str">
        <f aca="false">VLOOKUP(B233,[2]sales!$B$2:$D$183,3,0)</f>
        <v>Territory Sales Executive</v>
      </c>
      <c r="E233" s="18" t="s">
        <v>551</v>
      </c>
      <c r="F233" s="18" t="s">
        <v>67</v>
      </c>
      <c r="G233" s="18" t="n">
        <f aca="false">VLOOKUP(B233,[9]Staff!B$7:H$245,7,0)</f>
        <v>16500</v>
      </c>
      <c r="H233" s="18" t="n">
        <f aca="false">VLOOKUP(B233,[9]Staff!B$7:P$245,15,0)</f>
        <v>16500</v>
      </c>
      <c r="I233" s="21" t="str">
        <f aca="false">VLOOKUP(B233,[2]sales!$B$2:$G$183,6,0)</f>
        <v>CPD South</v>
      </c>
      <c r="J233" s="22" t="s">
        <v>552</v>
      </c>
      <c r="K233" s="23" t="s">
        <v>10</v>
      </c>
      <c r="L233" s="24" t="n">
        <f aca="false">IF(H233&gt;23335,0,(H233*90%*4.75%))</f>
        <v>705.375</v>
      </c>
      <c r="M233" s="24" t="n">
        <f aca="false">IF(H233*60%*12%&gt;1800,1974,(H233*60%*13.16%))</f>
        <v>1302.84</v>
      </c>
      <c r="N233" s="25" t="n">
        <f aca="false">H233+L233+M233</f>
        <v>18508.215</v>
      </c>
    </row>
    <row r="234" customFormat="false" ht="17.25" hidden="false" customHeight="true" outlineLevel="0" collapsed="false">
      <c r="A234" s="18" t="n">
        <v>233</v>
      </c>
      <c r="B234" s="19" t="n">
        <v>4497</v>
      </c>
      <c r="C234" s="20" t="s">
        <v>553</v>
      </c>
      <c r="D234" s="20" t="str">
        <f aca="false">VLOOKUP(B234,[2]sales!$B$2:$D$183,3,0)</f>
        <v>Territory Sales Executive</v>
      </c>
      <c r="E234" s="18" t="s">
        <v>543</v>
      </c>
      <c r="F234" s="18" t="s">
        <v>67</v>
      </c>
      <c r="G234" s="18" t="n">
        <f aca="false">VLOOKUP(B234,[9]Staff!B$7:H$245,7,0)</f>
        <v>17500</v>
      </c>
      <c r="H234" s="18" t="n">
        <f aca="false">VLOOKUP(B234,[9]Staff!B$7:P$245,15,0)</f>
        <v>17500</v>
      </c>
      <c r="I234" s="21" t="str">
        <f aca="false">VLOOKUP(B234,[2]sales!$B$2:$G$183,6,0)</f>
        <v>CPD North</v>
      </c>
      <c r="J234" s="22" t="s">
        <v>554</v>
      </c>
      <c r="K234" s="23" t="s">
        <v>10</v>
      </c>
      <c r="L234" s="24" t="n">
        <f aca="false">IF(H234&gt;23335,0,(H234*90%*4.75%))</f>
        <v>748.125</v>
      </c>
      <c r="M234" s="24" t="n">
        <f aca="false">IF(H234*60%*12%&gt;1800,1974,(H234*60%*13.16%))</f>
        <v>1381.8</v>
      </c>
      <c r="N234" s="25" t="n">
        <f aca="false">H234+L234+M234</f>
        <v>19629.925</v>
      </c>
    </row>
    <row r="235" customFormat="false" ht="17.25" hidden="false" customHeight="true" outlineLevel="0" collapsed="false">
      <c r="A235" s="19" t="n">
        <v>234</v>
      </c>
      <c r="B235" s="18" t="n">
        <v>4499</v>
      </c>
      <c r="C235" s="27" t="s">
        <v>555</v>
      </c>
      <c r="D235" s="27" t="s">
        <v>135</v>
      </c>
      <c r="E235" s="18" t="s">
        <v>556</v>
      </c>
      <c r="F235" s="18" t="s">
        <v>338</v>
      </c>
      <c r="G235" s="18" t="n">
        <f aca="false">VLOOKUP(B235,'[5]Hosur-Apr''18'!B$5:H$127,7,0)</f>
        <v>9000</v>
      </c>
      <c r="H235" s="18" t="n">
        <f aca="false">VLOOKUP(B235,'[5]Hosur-Apr''18'!B$5:M$127,12,0)</f>
        <v>9000</v>
      </c>
      <c r="I235" s="22" t="s">
        <v>33</v>
      </c>
      <c r="J235" s="22" t="s">
        <v>33</v>
      </c>
      <c r="K235" s="23" t="s">
        <v>7</v>
      </c>
      <c r="L235" s="25" t="n">
        <f aca="false">IF(H235&gt;21000,0,(H235*4.75%))</f>
        <v>427.5</v>
      </c>
      <c r="M235" s="25" t="n">
        <f aca="false">IF(H235*70%*12%&gt;1800,1974,(H235*70%*12%))</f>
        <v>756</v>
      </c>
      <c r="N235" s="25" t="n">
        <f aca="false">H235+L235+M235</f>
        <v>10183.5</v>
      </c>
    </row>
    <row r="236" customFormat="false" ht="17.25" hidden="false" customHeight="false" outlineLevel="0" collapsed="false">
      <c r="A236" s="18" t="n">
        <v>235</v>
      </c>
      <c r="B236" s="18" t="s">
        <v>557</v>
      </c>
      <c r="C236" s="29" t="s">
        <v>558</v>
      </c>
      <c r="D236" s="20" t="str">
        <f aca="false">VLOOKUP(B236,[2]sales!$B$2:$D$183,3,0)</f>
        <v>Senior Manager-Commercial</v>
      </c>
      <c r="E236" s="18" t="s">
        <v>559</v>
      </c>
      <c r="F236" s="18" t="s">
        <v>146</v>
      </c>
      <c r="G236" s="18" t="n">
        <v>89333</v>
      </c>
      <c r="H236" s="18" t="n">
        <v>89333</v>
      </c>
      <c r="I236" s="21" t="str">
        <f aca="false">VLOOKUP(B236,[2]sales!$B$2:$G$183,6,0)</f>
        <v>Rice</v>
      </c>
      <c r="J236" s="18" t="s">
        <v>384</v>
      </c>
      <c r="K236" s="23" t="s">
        <v>4</v>
      </c>
      <c r="L236" s="24" t="n">
        <f aca="false">IF(H236&gt;23335,0,(H236*90%*4.75%))</f>
        <v>0</v>
      </c>
      <c r="M236" s="24" t="n">
        <f aca="false">IF(H236*60%*12%&gt;1800,1974,(H236*60%*13.16%))</f>
        <v>1974</v>
      </c>
      <c r="N236" s="25" t="n">
        <f aca="false">H236+L236+M236</f>
        <v>91307</v>
      </c>
    </row>
    <row r="237" customFormat="false" ht="17.25" hidden="false" customHeight="true" outlineLevel="0" collapsed="false">
      <c r="A237" s="19" t="n">
        <v>236</v>
      </c>
      <c r="B237" s="18" t="n">
        <v>4552</v>
      </c>
      <c r="C237" s="29" t="s">
        <v>560</v>
      </c>
      <c r="D237" s="20" t="str">
        <f aca="false">VLOOKUP(B237,[2]sales!$B$2:$D$183,3,0)</f>
        <v>General  Manager-Sales</v>
      </c>
      <c r="E237" s="18" t="s">
        <v>313</v>
      </c>
      <c r="F237" s="18" t="s">
        <v>561</v>
      </c>
      <c r="G237" s="18" t="n">
        <f aca="false">VLOOKUP(B237,[9]Staff!B$7:H$245,7,0)</f>
        <v>207000</v>
      </c>
      <c r="H237" s="18" t="n">
        <f aca="false">VLOOKUP(B237,[9]Staff!B$7:P$245,15,0)</f>
        <v>207000</v>
      </c>
      <c r="I237" s="21" t="str">
        <f aca="false">VLOOKUP(B237,[2]sales!$B$2:$G$183,6,0)</f>
        <v>GM sales all kerala</v>
      </c>
      <c r="J237" s="18" t="s">
        <v>534</v>
      </c>
      <c r="K237" s="23" t="s">
        <v>10</v>
      </c>
      <c r="L237" s="24" t="n">
        <f aca="false">IF(H237&gt;23335,0,(H237*90%*4.75%))</f>
        <v>0</v>
      </c>
      <c r="M237" s="24" t="n">
        <f aca="false">IF(H237*60%*12%&gt;1800,1974,(H237*60%*13.16%))</f>
        <v>1974</v>
      </c>
      <c r="N237" s="25" t="n">
        <f aca="false">H237+L237+M237</f>
        <v>208974</v>
      </c>
    </row>
    <row r="238" customFormat="false" ht="17.25" hidden="false" customHeight="true" outlineLevel="0" collapsed="false">
      <c r="A238" s="18" t="n">
        <v>237</v>
      </c>
      <c r="B238" s="18" t="n">
        <v>4939</v>
      </c>
      <c r="C238" s="29" t="s">
        <v>562</v>
      </c>
      <c r="D238" s="20" t="str">
        <f aca="false">VLOOKUP(B238,[2]sales!$B$2:$D$183,3,0)</f>
        <v>Territory Sales Executive</v>
      </c>
      <c r="E238" s="18" t="s">
        <v>563</v>
      </c>
      <c r="F238" s="18" t="s">
        <v>67</v>
      </c>
      <c r="G238" s="18" t="n">
        <f aca="false">VLOOKUP(B238,[9]Staff!B$7:H$245,7,0)</f>
        <v>20000</v>
      </c>
      <c r="H238" s="18" t="n">
        <f aca="false">VLOOKUP(B238,[9]Staff!B$7:P$245,15,0)</f>
        <v>20000</v>
      </c>
      <c r="I238" s="21" t="str">
        <f aca="false">VLOOKUP(B238,[2]sales!$B$2:$G$183,6,0)</f>
        <v>CPD South</v>
      </c>
      <c r="J238" s="18" t="s">
        <v>534</v>
      </c>
      <c r="K238" s="23" t="s">
        <v>10</v>
      </c>
      <c r="L238" s="24" t="n">
        <f aca="false">IF(H238&gt;23335,0,(H238*90%*4.75%))</f>
        <v>855</v>
      </c>
      <c r="M238" s="24" t="n">
        <f aca="false">IF(H238*60%*12%&gt;1800,1974,(H238*60%*13.16%))</f>
        <v>1579.2</v>
      </c>
      <c r="N238" s="25" t="n">
        <f aca="false">H238+L238+M238</f>
        <v>22434.2</v>
      </c>
    </row>
    <row r="239" customFormat="false" ht="17.25" hidden="false" customHeight="true" outlineLevel="0" collapsed="false">
      <c r="A239" s="19" t="n">
        <v>238</v>
      </c>
      <c r="B239" s="18" t="n">
        <v>4949</v>
      </c>
      <c r="C239" s="29" t="s">
        <v>564</v>
      </c>
      <c r="D239" s="20" t="str">
        <f aca="false">VLOOKUP(B239,[2]sales!$B$2:$D$183,3,0)</f>
        <v>Territory Sales Executive</v>
      </c>
      <c r="E239" s="18" t="s">
        <v>503</v>
      </c>
      <c r="F239" s="18" t="s">
        <v>67</v>
      </c>
      <c r="G239" s="18" t="n">
        <f aca="false">VLOOKUP(B239,[9]Staff!B$7:H$245,7,0)</f>
        <v>14000</v>
      </c>
      <c r="H239" s="18" t="n">
        <f aca="false">VLOOKUP(B239,[9]Staff!B$7:P$245,15,0)</f>
        <v>14000</v>
      </c>
      <c r="I239" s="21" t="str">
        <f aca="false">VLOOKUP(B239,[2]sales!$B$2:$G$183,6,0)</f>
        <v>Institution Sales</v>
      </c>
      <c r="J239" s="18" t="s">
        <v>110</v>
      </c>
      <c r="K239" s="23" t="s">
        <v>10</v>
      </c>
      <c r="L239" s="24" t="n">
        <f aca="false">IF(H239&gt;23335,0,(H239*90%*4.75%))</f>
        <v>598.5</v>
      </c>
      <c r="M239" s="24" t="n">
        <f aca="false">IF(H239*60%*12%&gt;1800,1974,(H239*60%*13.16%))</f>
        <v>1105.44</v>
      </c>
      <c r="N239" s="25" t="n">
        <f aca="false">H239+L239+M239</f>
        <v>15703.94</v>
      </c>
    </row>
    <row r="240" customFormat="false" ht="15.75" hidden="false" customHeight="false" outlineLevel="0" collapsed="false">
      <c r="A240" s="18" t="n">
        <v>239</v>
      </c>
      <c r="B240" s="32" t="n">
        <v>758</v>
      </c>
      <c r="C240" s="26" t="s">
        <v>565</v>
      </c>
      <c r="D240" s="20" t="s">
        <v>566</v>
      </c>
      <c r="E240" s="20" t="s">
        <v>567</v>
      </c>
      <c r="F240" s="20" t="s">
        <v>299</v>
      </c>
      <c r="G240" s="20" t="n">
        <f aca="false">VLOOKUP(B240,'[3]april (2)'!B$8:H$132,7,0)</f>
        <v>24190</v>
      </c>
      <c r="H240" s="26" t="n">
        <f aca="false">VLOOKUP(B240,'[3]april (2)'!B$8:N$132,13,0)</f>
        <v>24190</v>
      </c>
      <c r="I240" s="20" t="str">
        <f aca="false">VLOOKUP(B240,'[2]sales support'!$B$2:$G$72,6,0)</f>
        <v>Agro Sales</v>
      </c>
      <c r="J240" s="26" t="s">
        <v>568</v>
      </c>
      <c r="K240" s="26" t="s">
        <v>3</v>
      </c>
      <c r="L240" s="24" t="n">
        <f aca="false">IF(H240&gt;23335,0,(H240*90%*4.75%))</f>
        <v>0</v>
      </c>
      <c r="M240" s="24" t="n">
        <f aca="false">IF(H240*60%*12%&gt;1800,1974,(H240*60%*13.16%))</f>
        <v>1910.0424</v>
      </c>
      <c r="N240" s="25" t="n">
        <f aca="false">H240+L240+M240</f>
        <v>26100.0424</v>
      </c>
    </row>
    <row r="241" customFormat="false" ht="15.75" hidden="false" customHeight="false" outlineLevel="0" collapsed="false">
      <c r="A241" s="19" t="n">
        <v>240</v>
      </c>
      <c r="B241" s="32" t="n">
        <v>4560</v>
      </c>
      <c r="C241" s="26" t="s">
        <v>569</v>
      </c>
      <c r="D241" s="20" t="s">
        <v>99</v>
      </c>
      <c r="E241" s="20" t="s">
        <v>570</v>
      </c>
      <c r="F241" s="20" t="s">
        <v>109</v>
      </c>
      <c r="G241" s="20" t="n">
        <f aca="false">VLOOKUP(B241,'[3]april (2)'!B$8:H$132,7,0)</f>
        <v>11000</v>
      </c>
      <c r="H241" s="26" t="n">
        <f aca="false">VLOOKUP(B241,'[3]april (2)'!B$8:N$132,13,0)</f>
        <v>11000</v>
      </c>
      <c r="I241" s="20" t="str">
        <f aca="false">VLOOKUP(B241,'[2]sales support'!$B$2:$G$72,6,0)</f>
        <v>Institutional Sales</v>
      </c>
      <c r="J241" s="26" t="s">
        <v>568</v>
      </c>
      <c r="K241" s="26" t="s">
        <v>3</v>
      </c>
      <c r="L241" s="24" t="n">
        <f aca="false">IF(H241&gt;23335,0,(H241*90%*4.75%))</f>
        <v>470.25</v>
      </c>
      <c r="M241" s="24" t="n">
        <f aca="false">IF(H241*60%*12%&gt;1800,1974,(H241*60%*13.16%))</f>
        <v>868.56</v>
      </c>
      <c r="N241" s="25" t="n">
        <f aca="false">H241+L241+M241</f>
        <v>12338.81</v>
      </c>
    </row>
    <row r="242" customFormat="false" ht="15.75" hidden="false" customHeight="false" outlineLevel="0" collapsed="false">
      <c r="A242" s="18" t="n">
        <v>241</v>
      </c>
      <c r="B242" s="32" t="n">
        <v>4579</v>
      </c>
      <c r="C242" s="26" t="s">
        <v>571</v>
      </c>
      <c r="D242" s="20" t="s">
        <v>135</v>
      </c>
      <c r="E242" s="20" t="s">
        <v>572</v>
      </c>
      <c r="F242" s="20" t="s">
        <v>338</v>
      </c>
      <c r="G242" s="20" t="n">
        <f aca="false">VLOOKUP(B242,[9]Staff!B$8:H$245,7,0)</f>
        <v>10000</v>
      </c>
      <c r="H242" s="26" t="n">
        <f aca="false">VLOOKUP(B242,[9]Staff!B$7:P$245,15,0)</f>
        <v>10000</v>
      </c>
      <c r="I242" s="20" t="str">
        <f aca="false">VLOOKUP(B242,'[2]sales support'!$B$2:$G$72,6,0)</f>
        <v>Institutional Sales</v>
      </c>
      <c r="J242" s="26" t="s">
        <v>568</v>
      </c>
      <c r="K242" s="26" t="s">
        <v>10</v>
      </c>
      <c r="L242" s="24" t="n">
        <f aca="false">IF(H242&gt;23335,0,(H242*90%*4.75%))</f>
        <v>427.5</v>
      </c>
      <c r="M242" s="24" t="n">
        <f aca="false">IF(H242*60%*12%&gt;1800,1974,(H242*60%*13.16%))</f>
        <v>789.6</v>
      </c>
      <c r="N242" s="25" t="n">
        <f aca="false">H242+L242+M242</f>
        <v>11217.1</v>
      </c>
    </row>
    <row r="243" customFormat="false" ht="15.75" hidden="false" customHeight="false" outlineLevel="0" collapsed="false">
      <c r="A243" s="19" t="n">
        <v>242</v>
      </c>
      <c r="B243" s="32" t="n">
        <v>25</v>
      </c>
      <c r="C243" s="26" t="s">
        <v>573</v>
      </c>
      <c r="D243" s="20" t="s">
        <v>574</v>
      </c>
      <c r="E243" s="20" t="s">
        <v>575</v>
      </c>
      <c r="F243" s="20" t="s">
        <v>58</v>
      </c>
      <c r="G243" s="20" t="n">
        <f aca="false">VLOOKUP(B243,[9]Staff!B$8:H$245,7,0)</f>
        <v>37490</v>
      </c>
      <c r="H243" s="26" t="n">
        <f aca="false">VLOOKUP(B243,[9]Staff!B$7:P$245,15,0)</f>
        <v>37490</v>
      </c>
      <c r="I243" s="20" t="str">
        <f aca="false">VLOOKUP(B243,'[2]sales support'!$B$2:$G$72,6,0)</f>
        <v>Bulk </v>
      </c>
      <c r="J243" s="42" t="s">
        <v>568</v>
      </c>
      <c r="K243" s="26" t="s">
        <v>10</v>
      </c>
      <c r="L243" s="24" t="n">
        <f aca="false">IF(H243&gt;23335,0,(H243*90%*4.75%))</f>
        <v>0</v>
      </c>
      <c r="M243" s="24" t="n">
        <f aca="false">IF(H243*60%*12%&gt;1800,1974,(H243*60%*13.16%))</f>
        <v>1974</v>
      </c>
      <c r="N243" s="25" t="n">
        <f aca="false">H243+L243+M243</f>
        <v>39464</v>
      </c>
    </row>
    <row r="244" customFormat="false" ht="15.75" hidden="false" customHeight="false" outlineLevel="0" collapsed="false">
      <c r="A244" s="18" t="n">
        <v>243</v>
      </c>
      <c r="B244" s="32" t="n">
        <v>867</v>
      </c>
      <c r="C244" s="20" t="s">
        <v>576</v>
      </c>
      <c r="D244" s="20" t="s">
        <v>577</v>
      </c>
      <c r="E244" s="20" t="s">
        <v>578</v>
      </c>
      <c r="F244" s="20" t="s">
        <v>79</v>
      </c>
      <c r="G244" s="20" t="n">
        <f aca="false">VLOOKUP(B244,[9]Staff!B$8:H$245,7,0)</f>
        <v>18740</v>
      </c>
      <c r="H244" s="26" t="n">
        <f aca="false">VLOOKUP(B244,[9]Staff!B$7:P$245,15,0)</f>
        <v>18740</v>
      </c>
      <c r="I244" s="20" t="str">
        <f aca="false">VLOOKUP(B244,[2]depot!$B$2:$F$55,5,0)</f>
        <v>Bulk </v>
      </c>
      <c r="J244" s="42" t="s">
        <v>579</v>
      </c>
      <c r="K244" s="26" t="s">
        <v>10</v>
      </c>
      <c r="L244" s="24" t="n">
        <f aca="false">IF(H244&gt;23335,0,(H244*90%*4.75%))</f>
        <v>801.135</v>
      </c>
      <c r="M244" s="24" t="n">
        <f aca="false">IF(H244*60%*12%&gt;1800,1974,(H244*60%*13.16%))</f>
        <v>1479.7104</v>
      </c>
      <c r="N244" s="25" t="n">
        <f aca="false">H244+L244+M244</f>
        <v>21020.8454</v>
      </c>
    </row>
    <row r="245" customFormat="false" ht="15.75" hidden="false" customHeight="false" outlineLevel="0" collapsed="false">
      <c r="A245" s="19" t="n">
        <v>244</v>
      </c>
      <c r="B245" s="32" t="n">
        <v>879</v>
      </c>
      <c r="C245" s="20" t="s">
        <v>580</v>
      </c>
      <c r="D245" s="20" t="s">
        <v>581</v>
      </c>
      <c r="E245" s="20" t="s">
        <v>582</v>
      </c>
      <c r="F245" s="20" t="s">
        <v>67</v>
      </c>
      <c r="G245" s="20" t="n">
        <f aca="false">VLOOKUP(B245,[9]Staff!B$8:H$245,7,0)</f>
        <v>17610</v>
      </c>
      <c r="H245" s="26" t="n">
        <f aca="false">VLOOKUP(B245,[9]Staff!B$7:P$245,15,0)</f>
        <v>17610</v>
      </c>
      <c r="I245" s="20" t="str">
        <f aca="false">VLOOKUP(B245,[2]depot!$B$2:$F$55,5,0)</f>
        <v>Bulk </v>
      </c>
      <c r="J245" s="42" t="s">
        <v>579</v>
      </c>
      <c r="K245" s="26" t="s">
        <v>10</v>
      </c>
      <c r="L245" s="24" t="n">
        <f aca="false">IF(H245&gt;23335,0,(H245*90%*4.75%))</f>
        <v>752.8275</v>
      </c>
      <c r="M245" s="24" t="n">
        <f aca="false">IF(H245*60%*12%&gt;1800,1974,(H245*60%*13.16%))</f>
        <v>1390.4856</v>
      </c>
      <c r="N245" s="25" t="n">
        <f aca="false">H245+L245+M245</f>
        <v>19753.3131</v>
      </c>
    </row>
    <row r="246" customFormat="false" ht="15.75" hidden="false" customHeight="false" outlineLevel="0" collapsed="false">
      <c r="A246" s="18" t="n">
        <v>245</v>
      </c>
      <c r="B246" s="38" t="n">
        <v>2040</v>
      </c>
      <c r="C246" s="20" t="s">
        <v>583</v>
      </c>
      <c r="D246" s="20" t="s">
        <v>584</v>
      </c>
      <c r="E246" s="20" t="s">
        <v>585</v>
      </c>
      <c r="F246" s="20" t="s">
        <v>109</v>
      </c>
      <c r="G246" s="20" t="n">
        <f aca="false">VLOOKUP(B246,'[3]april (2)'!B$8:H$132,7,0)</f>
        <v>13620</v>
      </c>
      <c r="H246" s="26" t="n">
        <f aca="false">VLOOKUP(B246,'[3]april (2)'!B$8:N$132,13,0)</f>
        <v>6810</v>
      </c>
      <c r="I246" s="20" t="str">
        <f aca="false">VLOOKUP(B246,'[2]sales support'!$B$2:$G$72,6,0)</f>
        <v>CRM</v>
      </c>
      <c r="J246" s="42" t="s">
        <v>10</v>
      </c>
      <c r="K246" s="26" t="s">
        <v>3</v>
      </c>
      <c r="L246" s="24" t="n">
        <f aca="false">IF(H246&gt;23335,0,(H246*90%*4.75%))</f>
        <v>291.1275</v>
      </c>
      <c r="M246" s="24" t="n">
        <f aca="false">IF(H246*60%*12%&gt;1800,1974,(H246*60%*13.16%))</f>
        <v>537.7176</v>
      </c>
      <c r="N246" s="25" t="n">
        <f aca="false">H246+L246+M246</f>
        <v>7638.8451</v>
      </c>
    </row>
    <row r="247" customFormat="false" ht="15.75" hidden="false" customHeight="false" outlineLevel="0" collapsed="false">
      <c r="A247" s="19" t="n">
        <v>246</v>
      </c>
      <c r="B247" s="32" t="n">
        <v>2195</v>
      </c>
      <c r="C247" s="26" t="s">
        <v>586</v>
      </c>
      <c r="D247" s="20" t="s">
        <v>587</v>
      </c>
      <c r="E247" s="20" t="s">
        <v>588</v>
      </c>
      <c r="F247" s="20" t="s">
        <v>109</v>
      </c>
      <c r="G247" s="20" t="n">
        <f aca="false">VLOOKUP(B247,[9]Staff!B$8:H$245,7,0)</f>
        <v>13390</v>
      </c>
      <c r="H247" s="26" t="n">
        <f aca="false">VLOOKUP(B247,[9]Staff!B$7:P$245,15,0)</f>
        <v>13390</v>
      </c>
      <c r="I247" s="20" t="str">
        <f aca="false">VLOOKUP(B247,[2]depot!$B$2:$F$55,5,0)</f>
        <v>Bulk </v>
      </c>
      <c r="J247" s="42" t="s">
        <v>579</v>
      </c>
      <c r="K247" s="26" t="s">
        <v>10</v>
      </c>
      <c r="L247" s="24" t="n">
        <f aca="false">IF(H247&gt;23335,0,(H247*90%*4.75%))</f>
        <v>572.4225</v>
      </c>
      <c r="M247" s="24" t="n">
        <f aca="false">IF(H247*60%*12%&gt;1800,1974,(H247*60%*13.16%))</f>
        <v>1057.2744</v>
      </c>
      <c r="N247" s="25" t="n">
        <f aca="false">H247+L247+M247</f>
        <v>15019.6969</v>
      </c>
    </row>
    <row r="248" customFormat="false" ht="15.75" hidden="false" customHeight="false" outlineLevel="0" collapsed="false">
      <c r="A248" s="18" t="n">
        <v>247</v>
      </c>
      <c r="B248" s="32" t="n">
        <v>2545</v>
      </c>
      <c r="C248" s="26" t="s">
        <v>589</v>
      </c>
      <c r="D248" s="20" t="s">
        <v>590</v>
      </c>
      <c r="E248" s="20" t="s">
        <v>591</v>
      </c>
      <c r="F248" s="20" t="s">
        <v>109</v>
      </c>
      <c r="G248" s="20" t="n">
        <f aca="false">VLOOKUP(B248,[9]Staff!B$8:H$245,7,0)</f>
        <v>18390</v>
      </c>
      <c r="H248" s="26" t="n">
        <f aca="false">VLOOKUP(B248,[9]Staff!B$7:P$245,15,0)</f>
        <v>18390</v>
      </c>
      <c r="I248" s="20" t="str">
        <f aca="false">VLOOKUP(B248,[2]depot!$B$2:$F$55,5,0)</f>
        <v>Bulk </v>
      </c>
      <c r="J248" s="42" t="s">
        <v>579</v>
      </c>
      <c r="K248" s="26" t="s">
        <v>10</v>
      </c>
      <c r="L248" s="24" t="n">
        <f aca="false">IF(H248&gt;23335,0,(H248*90%*4.75%))</f>
        <v>786.1725</v>
      </c>
      <c r="M248" s="24" t="n">
        <f aca="false">IF(H248*60%*12%&gt;1800,1974,(H248*60%*13.16%))</f>
        <v>1452.0744</v>
      </c>
      <c r="N248" s="25" t="n">
        <f aca="false">H248+L248+M248</f>
        <v>20628.2469</v>
      </c>
    </row>
    <row r="249" customFormat="false" ht="15.75" hidden="false" customHeight="false" outlineLevel="0" collapsed="false">
      <c r="A249" s="19" t="n">
        <v>248</v>
      </c>
      <c r="B249" s="32" t="n">
        <v>2679</v>
      </c>
      <c r="C249" s="26" t="s">
        <v>592</v>
      </c>
      <c r="D249" s="20" t="s">
        <v>581</v>
      </c>
      <c r="E249" s="20" t="s">
        <v>593</v>
      </c>
      <c r="F249" s="20" t="s">
        <v>109</v>
      </c>
      <c r="G249" s="20" t="n">
        <f aca="false">VLOOKUP(B249,[9]Staff!B$8:H$245,7,0)</f>
        <v>15370</v>
      </c>
      <c r="H249" s="26" t="n">
        <f aca="false">VLOOKUP(B249,[9]Staff!B$7:P$245,15,0)</f>
        <v>15370</v>
      </c>
      <c r="I249" s="20" t="str">
        <f aca="false">VLOOKUP(B249,[2]depot!$B$2:$F$55,5,0)</f>
        <v>Bulk </v>
      </c>
      <c r="J249" s="42" t="s">
        <v>579</v>
      </c>
      <c r="K249" s="26" t="s">
        <v>10</v>
      </c>
      <c r="L249" s="24" t="n">
        <f aca="false">IF(H249&gt;23335,0,(H249*90%*4.75%))</f>
        <v>657.0675</v>
      </c>
      <c r="M249" s="24" t="n">
        <f aca="false">IF(H249*60%*12%&gt;1800,1974,(H249*60%*13.16%))</f>
        <v>1213.6152</v>
      </c>
      <c r="N249" s="25" t="n">
        <f aca="false">H249+L249+M249</f>
        <v>17240.6827</v>
      </c>
    </row>
    <row r="250" customFormat="false" ht="15.75" hidden="false" customHeight="false" outlineLevel="0" collapsed="false">
      <c r="A250" s="18" t="n">
        <v>249</v>
      </c>
      <c r="B250" s="20" t="n">
        <v>3775</v>
      </c>
      <c r="C250" s="20" t="s">
        <v>594</v>
      </c>
      <c r="D250" s="20" t="s">
        <v>595</v>
      </c>
      <c r="E250" s="20" t="s">
        <v>596</v>
      </c>
      <c r="F250" s="20" t="s">
        <v>109</v>
      </c>
      <c r="G250" s="20" t="n">
        <f aca="false">VLOOKUP(B250,[9]Staff!B$8:H$245,7,0)</f>
        <v>10540</v>
      </c>
      <c r="H250" s="26" t="n">
        <f aca="false">VLOOKUP(B250,[9]Staff!B$7:P$245,15,0)</f>
        <v>10540</v>
      </c>
      <c r="I250" s="20" t="str">
        <f aca="false">VLOOKUP(B250,'[2]sales support'!$B$2:$G$72,6,0)</f>
        <v>CRM</v>
      </c>
      <c r="J250" s="42" t="s">
        <v>10</v>
      </c>
      <c r="K250" s="26" t="s">
        <v>10</v>
      </c>
      <c r="L250" s="24" t="n">
        <f aca="false">IF(H250&gt;23335,0,(H250*90%*4.75%))</f>
        <v>450.585</v>
      </c>
      <c r="M250" s="24" t="n">
        <f aca="false">IF(H250*60%*12%&gt;1800,1974,(H250*60%*13.16%))</f>
        <v>832.2384</v>
      </c>
      <c r="N250" s="25" t="n">
        <f aca="false">H250+L250+M250</f>
        <v>11822.8234</v>
      </c>
    </row>
    <row r="251" customFormat="false" ht="15.75" hidden="false" customHeight="false" outlineLevel="0" collapsed="false">
      <c r="A251" s="19" t="n">
        <v>250</v>
      </c>
      <c r="B251" s="32" t="n">
        <v>3409</v>
      </c>
      <c r="C251" s="20" t="s">
        <v>597</v>
      </c>
      <c r="D251" s="20" t="s">
        <v>598</v>
      </c>
      <c r="E251" s="20" t="s">
        <v>295</v>
      </c>
      <c r="F251" s="20" t="s">
        <v>67</v>
      </c>
      <c r="G251" s="20" t="n">
        <f aca="false">VLOOKUP(B251,[9]Staff!B$8:H$245,7,0)</f>
        <v>13510</v>
      </c>
      <c r="H251" s="26" t="n">
        <f aca="false">VLOOKUP(B251,[9]Staff!B$7:P$245,15,0)</f>
        <v>13510</v>
      </c>
      <c r="I251" s="20" t="str">
        <f aca="false">VLOOKUP(B251,[2]depot!$B$2:$F$55,5,0)</f>
        <v>Bulk </v>
      </c>
      <c r="J251" s="42" t="s">
        <v>579</v>
      </c>
      <c r="K251" s="20" t="s">
        <v>10</v>
      </c>
      <c r="L251" s="24" t="n">
        <f aca="false">IF(H251&gt;23335,0,(H251*90%*4.75%))</f>
        <v>577.5525</v>
      </c>
      <c r="M251" s="24" t="n">
        <f aca="false">IF(H251*60%*12%&gt;1800,1974,(H251*60%*13.16%))</f>
        <v>1066.7496</v>
      </c>
      <c r="N251" s="25" t="n">
        <f aca="false">H251+L251+M251</f>
        <v>15154.3021</v>
      </c>
    </row>
    <row r="252" customFormat="false" ht="15.75" hidden="false" customHeight="false" outlineLevel="0" collapsed="false">
      <c r="A252" s="18" t="n">
        <v>251</v>
      </c>
      <c r="B252" s="32" t="n">
        <v>1068</v>
      </c>
      <c r="C252" s="26" t="s">
        <v>599</v>
      </c>
      <c r="D252" s="20" t="s">
        <v>600</v>
      </c>
      <c r="E252" s="20" t="s">
        <v>601</v>
      </c>
      <c r="F252" s="20" t="s">
        <v>79</v>
      </c>
      <c r="G252" s="20" t="n">
        <f aca="false">VLOOKUP(B252,'[3]april (2)'!B$8:H$132,7,0)</f>
        <v>16950</v>
      </c>
      <c r="H252" s="26" t="n">
        <f aca="false">VLOOKUP(B252,'[3]april (2)'!B$8:N$132,13,0)</f>
        <v>16950</v>
      </c>
      <c r="I252" s="20" t="str">
        <f aca="false">VLOOKUP(B252,'[2]sales support'!$B$2:$G$72,6,0)</f>
        <v>Bulk </v>
      </c>
      <c r="J252" s="42" t="s">
        <v>568</v>
      </c>
      <c r="K252" s="26" t="s">
        <v>3</v>
      </c>
      <c r="L252" s="24" t="n">
        <f aca="false">IF(H252&gt;23335,0,(H252*90%*4.75%))</f>
        <v>724.6125</v>
      </c>
      <c r="M252" s="24" t="n">
        <f aca="false">IF(H252*60%*12%&gt;1800,1974,(H252*60%*13.16%))</f>
        <v>1338.372</v>
      </c>
      <c r="N252" s="25" t="n">
        <f aca="false">H252+L252+M252</f>
        <v>19012.9845</v>
      </c>
    </row>
    <row r="253" customFormat="false" ht="15.75" hidden="false" customHeight="false" outlineLevel="0" collapsed="false">
      <c r="A253" s="19" t="n">
        <v>252</v>
      </c>
      <c r="B253" s="43" t="n">
        <v>4028</v>
      </c>
      <c r="C253" s="32" t="s">
        <v>602</v>
      </c>
      <c r="D253" s="32" t="s">
        <v>603</v>
      </c>
      <c r="E253" s="20" t="s">
        <v>604</v>
      </c>
      <c r="F253" s="20" t="s">
        <v>109</v>
      </c>
      <c r="G253" s="20" t="n">
        <f aca="false">VLOOKUP(B253,[9]Staff!B$8:H$245,7,0)</f>
        <v>9500</v>
      </c>
      <c r="H253" s="26" t="n">
        <f aca="false">VLOOKUP(B253,[9]Staff!B$7:P$245,15,0)</f>
        <v>9500</v>
      </c>
      <c r="I253" s="20" t="str">
        <f aca="false">VLOOKUP(B253,[2]depot!$B$2:$F$55,5,0)</f>
        <v>Bulk </v>
      </c>
      <c r="J253" s="42" t="s">
        <v>579</v>
      </c>
      <c r="K253" s="26" t="s">
        <v>10</v>
      </c>
      <c r="L253" s="24" t="n">
        <f aca="false">IF(H253&gt;23335,0,(H253*90%*4.75%))</f>
        <v>406.125</v>
      </c>
      <c r="M253" s="24" t="n">
        <f aca="false">IF(H253*60%*12%&gt;1800,1974,(H253*60%*13.16%))</f>
        <v>750.12</v>
      </c>
      <c r="N253" s="25" t="n">
        <f aca="false">H253+L253+M253</f>
        <v>10656.245</v>
      </c>
    </row>
    <row r="254" customFormat="false" ht="15.75" hidden="false" customHeight="false" outlineLevel="0" collapsed="false">
      <c r="A254" s="18" t="n">
        <v>253</v>
      </c>
      <c r="B254" s="43" t="n">
        <v>4113</v>
      </c>
      <c r="C254" s="44" t="s">
        <v>605</v>
      </c>
      <c r="D254" s="44" t="s">
        <v>606</v>
      </c>
      <c r="E254" s="20" t="s">
        <v>607</v>
      </c>
      <c r="F254" s="20" t="s">
        <v>109</v>
      </c>
      <c r="G254" s="20" t="n">
        <f aca="false">VLOOKUP(B254,[9]Staff!B$8:H$245,7,0)</f>
        <v>9750</v>
      </c>
      <c r="H254" s="26" t="n">
        <f aca="false">VLOOKUP(B254,[9]Staff!B$7:P$245,15,0)</f>
        <v>9750</v>
      </c>
      <c r="I254" s="20" t="str">
        <f aca="false">VLOOKUP(B254,[2]depot!$B$2:$F$55,5,0)</f>
        <v>Bulk </v>
      </c>
      <c r="J254" s="44" t="s">
        <v>579</v>
      </c>
      <c r="K254" s="44" t="s">
        <v>10</v>
      </c>
      <c r="L254" s="24" t="n">
        <f aca="false">IF(H254&gt;23335,0,(H254*90%*4.75%))</f>
        <v>416.8125</v>
      </c>
      <c r="M254" s="24" t="n">
        <f aca="false">IF(H254*60%*12%&gt;1800,1974,(H254*60%*13.16%))</f>
        <v>769.86</v>
      </c>
      <c r="N254" s="25" t="n">
        <f aca="false">H254+L254+M254</f>
        <v>10936.6725</v>
      </c>
    </row>
    <row r="255" customFormat="false" ht="15.75" hidden="false" customHeight="false" outlineLevel="0" collapsed="false">
      <c r="A255" s="19" t="n">
        <v>254</v>
      </c>
      <c r="B255" s="43" t="n">
        <v>4172</v>
      </c>
      <c r="C255" s="44" t="s">
        <v>608</v>
      </c>
      <c r="D255" s="44" t="s">
        <v>609</v>
      </c>
      <c r="E255" s="20" t="s">
        <v>610</v>
      </c>
      <c r="F255" s="20" t="s">
        <v>338</v>
      </c>
      <c r="G255" s="20" t="n">
        <f aca="false">VLOOKUP(B255,[9]Staff!B$8:H$245,7,0)</f>
        <v>9000</v>
      </c>
      <c r="H255" s="26" t="n">
        <f aca="false">VLOOKUP(B255,[9]Staff!B$7:P$245,15,0)</f>
        <v>8400</v>
      </c>
      <c r="I255" s="20" t="str">
        <f aca="false">VLOOKUP(B255,[2]depot!$B$2:$F$55,5,0)</f>
        <v>Bulk </v>
      </c>
      <c r="J255" s="44" t="s">
        <v>579</v>
      </c>
      <c r="K255" s="44" t="s">
        <v>10</v>
      </c>
      <c r="L255" s="24" t="n">
        <f aca="false">IF(H255&gt;23335,0,(H255*90%*4.75%))</f>
        <v>359.1</v>
      </c>
      <c r="M255" s="24" t="n">
        <f aca="false">IF(H255*60%*12%&gt;1800,1974,(H255*60%*13.16%))</f>
        <v>663.264</v>
      </c>
      <c r="N255" s="25" t="n">
        <f aca="false">H255+L255+M255</f>
        <v>9422.364</v>
      </c>
    </row>
    <row r="256" customFormat="false" ht="15.75" hidden="false" customHeight="false" outlineLevel="0" collapsed="false">
      <c r="A256" s="18" t="n">
        <v>255</v>
      </c>
      <c r="B256" s="43" t="n">
        <v>4427</v>
      </c>
      <c r="C256" s="44" t="s">
        <v>611</v>
      </c>
      <c r="D256" s="44" t="s">
        <v>612</v>
      </c>
      <c r="E256" s="20" t="s">
        <v>613</v>
      </c>
      <c r="F256" s="20" t="s">
        <v>338</v>
      </c>
      <c r="G256" s="20" t="n">
        <f aca="false">VLOOKUP(B256,[9]Staff!B$8:H$245,7,0)</f>
        <v>10250</v>
      </c>
      <c r="H256" s="26" t="n">
        <f aca="false">VLOOKUP(B256,[9]Staff!B$7:P$245,15,0)</f>
        <v>10250</v>
      </c>
      <c r="I256" s="20" t="str">
        <f aca="false">VLOOKUP(B256,[2]depot!$B$2:$F$55,5,0)</f>
        <v>Bulk </v>
      </c>
      <c r="J256" s="44" t="s">
        <v>579</v>
      </c>
      <c r="K256" s="44" t="s">
        <v>10</v>
      </c>
      <c r="L256" s="24" t="n">
        <f aca="false">IF(H256&gt;23335,0,(H256*90%*4.75%))</f>
        <v>438.1875</v>
      </c>
      <c r="M256" s="24" t="n">
        <f aca="false">IF(H256*60%*12%&gt;1800,1974,(H256*60%*13.16%))</f>
        <v>809.34</v>
      </c>
      <c r="N256" s="25" t="n">
        <f aca="false">H256+L256+M256</f>
        <v>11497.5275</v>
      </c>
    </row>
    <row r="257" customFormat="false" ht="15.75" hidden="false" customHeight="false" outlineLevel="0" collapsed="false">
      <c r="A257" s="19" t="n">
        <v>256</v>
      </c>
      <c r="B257" s="38" t="n">
        <v>1470</v>
      </c>
      <c r="C257" s="26" t="s">
        <v>614</v>
      </c>
      <c r="D257" s="20" t="s">
        <v>615</v>
      </c>
      <c r="E257" s="20" t="s">
        <v>616</v>
      </c>
      <c r="F257" s="20" t="s">
        <v>617</v>
      </c>
      <c r="G257" s="20" t="n">
        <f aca="false">VLOOKUP(B257,'[3]april (2)'!B$8:H$132,7,0)</f>
        <v>16170</v>
      </c>
      <c r="H257" s="26" t="n">
        <f aca="false">VLOOKUP(B257,'[3]april (2)'!B$8:N$132,13,0)</f>
        <v>16170</v>
      </c>
      <c r="I257" s="20" t="str">
        <f aca="false">VLOOKUP(B257,'[2]sales support'!$B$2:$G$72,6,0)</f>
        <v>CRM</v>
      </c>
      <c r="J257" s="42" t="s">
        <v>10</v>
      </c>
      <c r="K257" s="26" t="s">
        <v>3</v>
      </c>
      <c r="L257" s="24" t="n">
        <f aca="false">IF(H257&gt;23335,0,(H257*90%*4.75%))</f>
        <v>691.2675</v>
      </c>
      <c r="M257" s="24" t="n">
        <f aca="false">IF(H257*60%*12%&gt;1800,1974,(H257*60%*13.16%))</f>
        <v>1276.7832</v>
      </c>
      <c r="N257" s="25" t="n">
        <f aca="false">H257+L257+M257</f>
        <v>18138.0507</v>
      </c>
    </row>
    <row r="258" customFormat="false" ht="15.75" hidden="false" customHeight="false" outlineLevel="0" collapsed="false">
      <c r="A258" s="18" t="n">
        <v>257</v>
      </c>
      <c r="B258" s="32" t="n">
        <v>642</v>
      </c>
      <c r="C258" s="26" t="s">
        <v>618</v>
      </c>
      <c r="D258" s="20" t="s">
        <v>619</v>
      </c>
      <c r="E258" s="20" t="s">
        <v>620</v>
      </c>
      <c r="F258" s="20" t="s">
        <v>79</v>
      </c>
      <c r="G258" s="20" t="n">
        <f aca="false">VLOOKUP(B258,'[3]april (2)'!B$8:H$132,7,0)</f>
        <v>21990</v>
      </c>
      <c r="H258" s="26" t="n">
        <f aca="false">VLOOKUP(B258,'[3]april (2)'!B$8:N$132,13,0)</f>
        <v>21990</v>
      </c>
      <c r="I258" s="20" t="str">
        <f aca="false">VLOOKUP(B258,'[2]sales support'!$B$2:$G$72,6,0)</f>
        <v>CPD</v>
      </c>
      <c r="J258" s="42" t="s">
        <v>568</v>
      </c>
      <c r="K258" s="26" t="s">
        <v>3</v>
      </c>
      <c r="L258" s="24" t="n">
        <f aca="false">IF(H258&gt;23335,0,(H258*90%*4.75%))</f>
        <v>940.0725</v>
      </c>
      <c r="M258" s="24" t="n">
        <f aca="false">IF(H258*60%*12%&gt;1800,1974,(H258*60%*13.16%))</f>
        <v>1736.3304</v>
      </c>
      <c r="N258" s="25" t="n">
        <f aca="false">H258+L258+M258</f>
        <v>24666.4029</v>
      </c>
    </row>
    <row r="259" customFormat="false" ht="15.75" hidden="false" customHeight="false" outlineLevel="0" collapsed="false">
      <c r="A259" s="19" t="n">
        <v>258</v>
      </c>
      <c r="B259" s="20" t="n">
        <v>1812</v>
      </c>
      <c r="C259" s="20" t="s">
        <v>621</v>
      </c>
      <c r="D259" s="20" t="s">
        <v>566</v>
      </c>
      <c r="E259" s="20"/>
      <c r="F259" s="20" t="s">
        <v>87</v>
      </c>
      <c r="G259" s="20" t="n">
        <f aca="false">VLOOKUP(B259,'[3]april (2)'!B$8:H$132,7,0)</f>
        <v>23270</v>
      </c>
      <c r="H259" s="26" t="n">
        <f aca="false">VLOOKUP(B259,'[3]april (2)'!B$8:N$132,13,0)</f>
        <v>23270</v>
      </c>
      <c r="I259" s="20" t="s">
        <v>25</v>
      </c>
      <c r="J259" s="20" t="s">
        <v>622</v>
      </c>
      <c r="K259" s="20" t="s">
        <v>622</v>
      </c>
      <c r="L259" s="24" t="n">
        <f aca="false">IF(H259&gt;23335,0,(H259*90%*4.75%))</f>
        <v>994.7925</v>
      </c>
      <c r="M259" s="24" t="n">
        <f aca="false">IF(H259*60%*12%&gt;1800,1974,(H259*60%*13.16%))</f>
        <v>1837.3992</v>
      </c>
      <c r="N259" s="25" t="n">
        <f aca="false">H259+L259+M259</f>
        <v>26102.1917</v>
      </c>
    </row>
    <row r="260" customFormat="false" ht="15.75" hidden="false" customHeight="false" outlineLevel="0" collapsed="false">
      <c r="A260" s="18" t="n">
        <v>259</v>
      </c>
      <c r="B260" s="38" t="n">
        <v>1829</v>
      </c>
      <c r="C260" s="26" t="s">
        <v>623</v>
      </c>
      <c r="D260" s="20" t="s">
        <v>624</v>
      </c>
      <c r="E260" s="20" t="s">
        <v>625</v>
      </c>
      <c r="F260" s="20" t="s">
        <v>109</v>
      </c>
      <c r="G260" s="20" t="n">
        <f aca="false">VLOOKUP(B260,[9]Staff!B$8:H$245,7,0)</f>
        <v>18230</v>
      </c>
      <c r="H260" s="26" t="n">
        <f aca="false">VLOOKUP(B260,[9]Staff!B$7:P$245,15,0)</f>
        <v>18230</v>
      </c>
      <c r="I260" s="20" t="str">
        <f aca="false">VLOOKUP(B260,'[2]sales support'!$B$2:$G$72,6,0)</f>
        <v>CPD</v>
      </c>
      <c r="J260" s="42" t="s">
        <v>568</v>
      </c>
      <c r="K260" s="26" t="s">
        <v>10</v>
      </c>
      <c r="L260" s="24" t="n">
        <f aca="false">IF(H260&gt;23335,0,(H260*90%*4.75%))</f>
        <v>779.3325</v>
      </c>
      <c r="M260" s="24" t="n">
        <f aca="false">IF(H260*60%*12%&gt;1800,1974,(H260*60%*13.16%))</f>
        <v>1439.4408</v>
      </c>
      <c r="N260" s="25" t="n">
        <f aca="false">H260+L260+M260</f>
        <v>20448.7733</v>
      </c>
    </row>
    <row r="261" customFormat="false" ht="15.75" hidden="false" customHeight="false" outlineLevel="0" collapsed="false">
      <c r="A261" s="19" t="n">
        <v>260</v>
      </c>
      <c r="B261" s="20" t="n">
        <v>3312</v>
      </c>
      <c r="C261" s="20" t="s">
        <v>626</v>
      </c>
      <c r="D261" s="20" t="s">
        <v>627</v>
      </c>
      <c r="E261" s="20" t="s">
        <v>628</v>
      </c>
      <c r="F261" s="20" t="s">
        <v>299</v>
      </c>
      <c r="G261" s="20" t="n">
        <f aca="false">VLOOKUP(B261,[9]Staff!B$8:H$245,7,0)</f>
        <v>21930</v>
      </c>
      <c r="H261" s="26" t="n">
        <f aca="false">VLOOKUP(B261,[9]Staff!B$7:P$245,15,0)</f>
        <v>21930</v>
      </c>
      <c r="I261" s="20" t="str">
        <f aca="false">VLOOKUP(B261,'[2]sales support'!$B$2:$G$72,6,0)</f>
        <v>CPD</v>
      </c>
      <c r="J261" s="42" t="s">
        <v>568</v>
      </c>
      <c r="K261" s="26" t="s">
        <v>10</v>
      </c>
      <c r="L261" s="24" t="n">
        <f aca="false">IF(H261&gt;23335,0,(H261*90%*4.75%))</f>
        <v>937.5075</v>
      </c>
      <c r="M261" s="24" t="n">
        <f aca="false">IF(H261*60%*12%&gt;1800,1974,(H261*60%*13.16%))</f>
        <v>1731.5928</v>
      </c>
      <c r="N261" s="25" t="n">
        <f aca="false">H261+L261+M261</f>
        <v>24599.1003</v>
      </c>
    </row>
    <row r="262" customFormat="false" ht="15.75" hidden="false" customHeight="false" outlineLevel="0" collapsed="false">
      <c r="A262" s="18" t="n">
        <v>261</v>
      </c>
      <c r="B262" s="25" t="n">
        <v>3380</v>
      </c>
      <c r="C262" s="26" t="s">
        <v>629</v>
      </c>
      <c r="D262" s="30" t="s">
        <v>624</v>
      </c>
      <c r="E262" s="30" t="s">
        <v>630</v>
      </c>
      <c r="F262" s="30" t="s">
        <v>109</v>
      </c>
      <c r="G262" s="20" t="n">
        <f aca="false">VLOOKUP(B262,[9]Staff!B$8:H$245,7,0)</f>
        <v>14000</v>
      </c>
      <c r="H262" s="26" t="n">
        <f aca="false">VLOOKUP(B262,[9]Staff!B$7:P$245,15,0)</f>
        <v>14000</v>
      </c>
      <c r="I262" s="20" t="str">
        <f aca="false">VLOOKUP(B262,[2]depot!$B$2:$F$55,5,0)</f>
        <v>Accounts</v>
      </c>
      <c r="J262" s="42" t="s">
        <v>10</v>
      </c>
      <c r="K262" s="26" t="s">
        <v>10</v>
      </c>
      <c r="L262" s="24" t="n">
        <f aca="false">IF(H262&gt;23335,0,(H262*90%*4.75%))</f>
        <v>598.5</v>
      </c>
      <c r="M262" s="24" t="n">
        <f aca="false">IF(H262*60%*12%&gt;1800,1974,(H262*60%*13.16%))</f>
        <v>1105.44</v>
      </c>
      <c r="N262" s="25" t="n">
        <f aca="false">H262+L262+M262</f>
        <v>15703.94</v>
      </c>
    </row>
    <row r="263" customFormat="false" ht="15.75" hidden="false" customHeight="false" outlineLevel="0" collapsed="false">
      <c r="A263" s="19" t="n">
        <v>262</v>
      </c>
      <c r="B263" s="38" t="n">
        <v>3238</v>
      </c>
      <c r="C263" s="20" t="s">
        <v>631</v>
      </c>
      <c r="D263" s="20" t="s">
        <v>426</v>
      </c>
      <c r="E263" s="20" t="s">
        <v>632</v>
      </c>
      <c r="F263" s="20" t="s">
        <v>109</v>
      </c>
      <c r="G263" s="20" t="n">
        <f aca="false">VLOOKUP(B263,'[3]april (2)'!B$8:H$132,7,0)</f>
        <v>15370</v>
      </c>
      <c r="H263" s="26" t="n">
        <f aca="false">VLOOKUP(B263,'[3]april (2)'!B$8:N$132,13,0)</f>
        <v>15370</v>
      </c>
      <c r="I263" s="20" t="str">
        <f aca="false">VLOOKUP(B263,'[2]sales support'!$B$2:$G$72,6,0)</f>
        <v>Rice</v>
      </c>
      <c r="J263" s="42"/>
      <c r="K263" s="26" t="s">
        <v>3</v>
      </c>
      <c r="L263" s="24" t="n">
        <f aca="false">IF(H263&gt;23335,0,(H263*90%*4.75%))</f>
        <v>657.0675</v>
      </c>
      <c r="M263" s="24" t="n">
        <f aca="false">IF(H263*60%*12%&gt;1800,1974,(H263*60%*13.16%))</f>
        <v>1213.6152</v>
      </c>
      <c r="N263" s="25" t="n">
        <f aca="false">H263+L263+M263</f>
        <v>17240.6827</v>
      </c>
    </row>
    <row r="264" customFormat="false" ht="15.75" hidden="false" customHeight="false" outlineLevel="0" collapsed="false">
      <c r="A264" s="18" t="n">
        <v>263</v>
      </c>
      <c r="B264" s="32" t="n">
        <v>3251</v>
      </c>
      <c r="C264" s="20" t="s">
        <v>633</v>
      </c>
      <c r="D264" s="20" t="s">
        <v>426</v>
      </c>
      <c r="E264" s="20" t="s">
        <v>261</v>
      </c>
      <c r="F264" s="20" t="s">
        <v>67</v>
      </c>
      <c r="G264" s="20" t="n">
        <f aca="false">VLOOKUP(B264,'[3]april (2)'!B$8:H$132,7,0)</f>
        <v>16700</v>
      </c>
      <c r="H264" s="26" t="n">
        <f aca="false">VLOOKUP(B264,'[3]april (2)'!B$8:N$132,13,0)</f>
        <v>16700</v>
      </c>
      <c r="I264" s="20" t="str">
        <f aca="false">VLOOKUP(B264,[2]depot!$B$2:$F$55,5,0)</f>
        <v>CPD</v>
      </c>
      <c r="J264" s="42" t="s">
        <v>634</v>
      </c>
      <c r="K264" s="26" t="s">
        <v>3</v>
      </c>
      <c r="L264" s="24" t="n">
        <f aca="false">IF(H264&gt;23335,0,(H264*90%*4.75%))</f>
        <v>713.925</v>
      </c>
      <c r="M264" s="24" t="n">
        <f aca="false">IF(H264*60%*12%&gt;1800,1974,(H264*60%*13.16%))</f>
        <v>1318.632</v>
      </c>
      <c r="N264" s="25" t="n">
        <f aca="false">H264+L264+M264</f>
        <v>18732.557</v>
      </c>
    </row>
    <row r="265" customFormat="false" ht="15.75" hidden="false" customHeight="false" outlineLevel="0" collapsed="false">
      <c r="A265" s="19" t="n">
        <v>264</v>
      </c>
      <c r="B265" s="32" t="n">
        <v>3253</v>
      </c>
      <c r="C265" s="20" t="s">
        <v>635</v>
      </c>
      <c r="D265" s="20" t="s">
        <v>254</v>
      </c>
      <c r="E265" s="20" t="s">
        <v>636</v>
      </c>
      <c r="F265" s="20" t="s">
        <v>67</v>
      </c>
      <c r="G265" s="20" t="n">
        <f aca="false">VLOOKUP(B265,'[3]april (2)'!B$8:H$132,7,0)</f>
        <v>14740</v>
      </c>
      <c r="H265" s="26" t="n">
        <f aca="false">VLOOKUP(B265,'[3]april (2)'!B$8:N$132,13,0)</f>
        <v>14740</v>
      </c>
      <c r="I265" s="20" t="str">
        <f aca="false">VLOOKUP(B265,[2]depot!$B$2:$F$55,5,0)</f>
        <v>CPD</v>
      </c>
      <c r="J265" s="42" t="s">
        <v>634</v>
      </c>
      <c r="K265" s="26" t="s">
        <v>3</v>
      </c>
      <c r="L265" s="24" t="n">
        <f aca="false">IF(H265&gt;23335,0,(H265*90%*4.75%))</f>
        <v>630.135</v>
      </c>
      <c r="M265" s="24" t="n">
        <f aca="false">IF(H265*60%*12%&gt;1800,1974,(H265*60%*13.16%))</f>
        <v>1163.8704</v>
      </c>
      <c r="N265" s="25" t="n">
        <f aca="false">H265+L265+M265</f>
        <v>16534.0054</v>
      </c>
    </row>
    <row r="266" customFormat="false" ht="15.75" hidden="false" customHeight="false" outlineLevel="0" collapsed="false">
      <c r="A266" s="18" t="n">
        <v>265</v>
      </c>
      <c r="B266" s="32" t="n">
        <v>3261</v>
      </c>
      <c r="C266" s="20" t="s">
        <v>637</v>
      </c>
      <c r="D266" s="20" t="s">
        <v>426</v>
      </c>
      <c r="E266" s="20" t="s">
        <v>638</v>
      </c>
      <c r="F266" s="20" t="s">
        <v>109</v>
      </c>
      <c r="G266" s="20" t="n">
        <f aca="false">VLOOKUP(B266,'[3]april (2)'!B$8:H$132,7,0)</f>
        <v>14310</v>
      </c>
      <c r="H266" s="26" t="n">
        <f aca="false">VLOOKUP(B266,'[3]april (2)'!B$8:N$132,13,0)</f>
        <v>14310</v>
      </c>
      <c r="I266" s="20" t="str">
        <f aca="false">VLOOKUP(B266,'[2]sales support'!$B$2:$G$72,6,0)</f>
        <v>CPD</v>
      </c>
      <c r="J266" s="42" t="s">
        <v>568</v>
      </c>
      <c r="K266" s="26" t="s">
        <v>3</v>
      </c>
      <c r="L266" s="24" t="n">
        <f aca="false">IF(H266&gt;23335,0,(H266*90%*4.75%))</f>
        <v>611.7525</v>
      </c>
      <c r="M266" s="24" t="n">
        <f aca="false">IF(H266*60%*12%&gt;1800,1974,(H266*60%*13.16%))</f>
        <v>1129.9176</v>
      </c>
      <c r="N266" s="25" t="n">
        <f aca="false">H266+L266+M266</f>
        <v>16051.6701</v>
      </c>
    </row>
    <row r="267" customFormat="false" ht="15.75" hidden="false" customHeight="false" outlineLevel="0" collapsed="false">
      <c r="A267" s="19" t="n">
        <v>266</v>
      </c>
      <c r="B267" s="32" t="n">
        <v>3278</v>
      </c>
      <c r="C267" s="20" t="s">
        <v>639</v>
      </c>
      <c r="D267" s="20" t="s">
        <v>254</v>
      </c>
      <c r="E267" s="20" t="s">
        <v>640</v>
      </c>
      <c r="F267" s="20" t="s">
        <v>67</v>
      </c>
      <c r="G267" s="20" t="n">
        <f aca="false">VLOOKUP(B267,'[3]april (2)'!B$8:H$132,7,0)</f>
        <v>14870</v>
      </c>
      <c r="H267" s="26" t="n">
        <f aca="false">VLOOKUP(B267,'[3]april (2)'!B$8:N$132,13,0)</f>
        <v>14870</v>
      </c>
      <c r="I267" s="20" t="str">
        <f aca="false">VLOOKUP(B267,[2]depot!$B$2:$F$55,5,0)</f>
        <v>CPD</v>
      </c>
      <c r="J267" s="42" t="s">
        <v>634</v>
      </c>
      <c r="K267" s="26" t="s">
        <v>3</v>
      </c>
      <c r="L267" s="24" t="n">
        <f aca="false">IF(H267&gt;23335,0,(H267*90%*4.75%))</f>
        <v>635.6925</v>
      </c>
      <c r="M267" s="24" t="n">
        <f aca="false">IF(H267*60%*12%&gt;1800,1974,(H267*60%*13.16%))</f>
        <v>1174.1352</v>
      </c>
      <c r="N267" s="25" t="n">
        <f aca="false">H267+L267+M267</f>
        <v>16679.8277</v>
      </c>
    </row>
    <row r="268" customFormat="false" ht="15.75" hidden="false" customHeight="false" outlineLevel="0" collapsed="false">
      <c r="A268" s="18" t="n">
        <v>267</v>
      </c>
      <c r="B268" s="32" t="n">
        <v>3280</v>
      </c>
      <c r="C268" s="26" t="s">
        <v>641</v>
      </c>
      <c r="D268" s="20" t="s">
        <v>584</v>
      </c>
      <c r="E268" s="20" t="s">
        <v>642</v>
      </c>
      <c r="F268" s="20" t="s">
        <v>109</v>
      </c>
      <c r="G268" s="20" t="n">
        <f aca="false">VLOOKUP(B268,'[3]april (2)'!B$8:H$132,7,0)</f>
        <v>14620</v>
      </c>
      <c r="H268" s="26" t="n">
        <f aca="false">VLOOKUP(B268,'[3]april (2)'!B$8:N$132,13,0)</f>
        <v>14620</v>
      </c>
      <c r="I268" s="20" t="str">
        <f aca="false">VLOOKUP(B268,[2]depot!$B$2:$F$55,5,0)</f>
        <v>CPD</v>
      </c>
      <c r="J268" s="42" t="s">
        <v>634</v>
      </c>
      <c r="K268" s="26" t="s">
        <v>3</v>
      </c>
      <c r="L268" s="24" t="n">
        <f aca="false">IF(H268&gt;23335,0,(H268*90%*4.75%))</f>
        <v>625.005</v>
      </c>
      <c r="M268" s="24" t="n">
        <f aca="false">IF(H268*60%*12%&gt;1800,1974,(H268*60%*13.16%))</f>
        <v>1154.3952</v>
      </c>
      <c r="N268" s="25" t="n">
        <f aca="false">H268+L268+M268</f>
        <v>16399.4002</v>
      </c>
    </row>
    <row r="269" customFormat="false" ht="15.75" hidden="false" customHeight="false" outlineLevel="0" collapsed="false">
      <c r="A269" s="19" t="n">
        <v>268</v>
      </c>
      <c r="B269" s="32" t="n">
        <v>3281</v>
      </c>
      <c r="C269" s="20" t="s">
        <v>643</v>
      </c>
      <c r="D269" s="20" t="s">
        <v>426</v>
      </c>
      <c r="E269" s="20" t="s">
        <v>644</v>
      </c>
      <c r="F269" s="20" t="s">
        <v>67</v>
      </c>
      <c r="G269" s="20" t="n">
        <f aca="false">VLOOKUP(B269,'[3]april (2)'!B$8:H$132,7,0)</f>
        <v>14510</v>
      </c>
      <c r="H269" s="26" t="n">
        <f aca="false">VLOOKUP(B269,'[3]april (2)'!B$8:N$132,13,0)</f>
        <v>14510</v>
      </c>
      <c r="I269" s="20" t="str">
        <f aca="false">VLOOKUP(B269,[2]depot!$B$2:$F$55,5,0)</f>
        <v>CPD</v>
      </c>
      <c r="J269" s="42" t="s">
        <v>634</v>
      </c>
      <c r="K269" s="26" t="s">
        <v>3</v>
      </c>
      <c r="L269" s="24" t="n">
        <f aca="false">IF(H269&gt;23335,0,(H269*90%*4.75%))</f>
        <v>620.3025</v>
      </c>
      <c r="M269" s="24" t="n">
        <f aca="false">IF(H269*60%*12%&gt;1800,1974,(H269*60%*13.16%))</f>
        <v>1145.7096</v>
      </c>
      <c r="N269" s="25" t="n">
        <f aca="false">H269+L269+M269</f>
        <v>16276.0121</v>
      </c>
    </row>
    <row r="270" customFormat="false" ht="15.75" hidden="false" customHeight="false" outlineLevel="0" collapsed="false">
      <c r="A270" s="18" t="n">
        <v>269</v>
      </c>
      <c r="B270" s="32" t="n">
        <v>3284</v>
      </c>
      <c r="C270" s="20" t="s">
        <v>645</v>
      </c>
      <c r="D270" s="20" t="s">
        <v>426</v>
      </c>
      <c r="E270" s="20" t="s">
        <v>646</v>
      </c>
      <c r="F270" s="20" t="s">
        <v>109</v>
      </c>
      <c r="G270" s="20" t="n">
        <f aca="false">VLOOKUP(B270,'[3]april (2)'!B$8:H$132,7,0)</f>
        <v>13510</v>
      </c>
      <c r="H270" s="26" t="n">
        <f aca="false">VLOOKUP(B270,'[3]april (2)'!B$8:N$132,13,0)</f>
        <v>13510</v>
      </c>
      <c r="I270" s="20" t="str">
        <f aca="false">VLOOKUP(B270,[2]depot!$B$2:$F$55,5,0)</f>
        <v>CPD</v>
      </c>
      <c r="J270" s="42" t="s">
        <v>634</v>
      </c>
      <c r="K270" s="26" t="s">
        <v>3</v>
      </c>
      <c r="L270" s="24" t="n">
        <f aca="false">IF(H270&gt;23335,0,(H270*90%*4.75%))</f>
        <v>577.5525</v>
      </c>
      <c r="M270" s="24" t="n">
        <f aca="false">IF(H270*60%*12%&gt;1800,1974,(H270*60%*13.16%))</f>
        <v>1066.7496</v>
      </c>
      <c r="N270" s="25" t="n">
        <f aca="false">H270+L270+M270</f>
        <v>15154.3021</v>
      </c>
    </row>
    <row r="271" customFormat="false" ht="15.75" hidden="false" customHeight="false" outlineLevel="0" collapsed="false">
      <c r="A271" s="19" t="n">
        <v>270</v>
      </c>
      <c r="B271" s="20" t="n">
        <v>3292</v>
      </c>
      <c r="C271" s="20" t="s">
        <v>647</v>
      </c>
      <c r="D271" s="26" t="s">
        <v>426</v>
      </c>
      <c r="E271" s="20" t="s">
        <v>648</v>
      </c>
      <c r="F271" s="20" t="s">
        <v>67</v>
      </c>
      <c r="G271" s="20" t="n">
        <f aca="false">VLOOKUP(B271,'[3]april (2)'!B$8:H$132,7,0)</f>
        <v>13180</v>
      </c>
      <c r="H271" s="26" t="n">
        <f aca="false">VLOOKUP(B271,'[3]april (2)'!B$8:N$132,13,0)</f>
        <v>13180</v>
      </c>
      <c r="I271" s="20" t="str">
        <f aca="false">VLOOKUP(B271,[2]depot!$B$2:$F$55,5,0)</f>
        <v>CPD</v>
      </c>
      <c r="J271" s="42" t="s">
        <v>634</v>
      </c>
      <c r="K271" s="26" t="s">
        <v>3</v>
      </c>
      <c r="L271" s="24" t="n">
        <f aca="false">IF(H271&gt;23335,0,(H271*90%*4.75%))</f>
        <v>563.445</v>
      </c>
      <c r="M271" s="24" t="n">
        <f aca="false">IF(H271*60%*12%&gt;1800,1974,(H271*60%*13.16%))</f>
        <v>1040.6928</v>
      </c>
      <c r="N271" s="25" t="n">
        <f aca="false">H271+L271+M271</f>
        <v>14784.1378</v>
      </c>
    </row>
    <row r="272" customFormat="false" ht="15.75" hidden="false" customHeight="false" outlineLevel="0" collapsed="false">
      <c r="A272" s="18" t="n">
        <v>271</v>
      </c>
      <c r="B272" s="32" t="n">
        <v>3322</v>
      </c>
      <c r="C272" s="20" t="s">
        <v>649</v>
      </c>
      <c r="D272" s="26" t="s">
        <v>426</v>
      </c>
      <c r="E272" s="20" t="s">
        <v>650</v>
      </c>
      <c r="F272" s="20" t="s">
        <v>67</v>
      </c>
      <c r="G272" s="20" t="n">
        <f aca="false">VLOOKUP(B272,'[3]april (2)'!B$8:H$132,7,0)</f>
        <v>13180</v>
      </c>
      <c r="H272" s="26" t="n">
        <f aca="false">VLOOKUP(B272,'[3]april (2)'!B$8:N$132,13,0)</f>
        <v>13180</v>
      </c>
      <c r="I272" s="20" t="str">
        <f aca="false">VLOOKUP(B272,[2]depot!$B$2:$F$55,5,0)</f>
        <v>CPD</v>
      </c>
      <c r="J272" s="42" t="s">
        <v>634</v>
      </c>
      <c r="K272" s="26" t="s">
        <v>3</v>
      </c>
      <c r="L272" s="24" t="n">
        <f aca="false">IF(H272&gt;23335,0,(H272*90%*4.75%))</f>
        <v>563.445</v>
      </c>
      <c r="M272" s="24" t="n">
        <f aca="false">IF(H272*60%*12%&gt;1800,1974,(H272*60%*13.16%))</f>
        <v>1040.6928</v>
      </c>
      <c r="N272" s="25" t="n">
        <f aca="false">H272+L272+M272</f>
        <v>14784.1378</v>
      </c>
    </row>
    <row r="273" customFormat="false" ht="15.75" hidden="false" customHeight="false" outlineLevel="0" collapsed="false">
      <c r="A273" s="19" t="n">
        <v>272</v>
      </c>
      <c r="B273" s="32" t="n">
        <v>3324</v>
      </c>
      <c r="C273" s="20" t="s">
        <v>651</v>
      </c>
      <c r="D273" s="20" t="s">
        <v>426</v>
      </c>
      <c r="E273" s="20" t="s">
        <v>652</v>
      </c>
      <c r="F273" s="20" t="s">
        <v>67</v>
      </c>
      <c r="G273" s="20" t="n">
        <f aca="false">VLOOKUP(B273,'[3]april (2)'!B$8:H$132,7,0)</f>
        <v>14940</v>
      </c>
      <c r="H273" s="26" t="n">
        <f aca="false">VLOOKUP(B273,'[3]april (2)'!B$8:N$132,13,0)</f>
        <v>12450</v>
      </c>
      <c r="I273" s="20" t="str">
        <f aca="false">VLOOKUP(B273,[2]depot!$B$2:$F$55,5,0)</f>
        <v>CPD</v>
      </c>
      <c r="J273" s="42" t="s">
        <v>634</v>
      </c>
      <c r="K273" s="26" t="s">
        <v>3</v>
      </c>
      <c r="L273" s="24" t="n">
        <f aca="false">IF(H273&gt;23335,0,(H273*90%*4.75%))</f>
        <v>532.2375</v>
      </c>
      <c r="M273" s="24" t="n">
        <f aca="false">IF(H273*60%*12%&gt;1800,1974,(H273*60%*13.16%))</f>
        <v>983.052</v>
      </c>
      <c r="N273" s="25" t="n">
        <f aca="false">H273+L273+M273</f>
        <v>13965.2895</v>
      </c>
    </row>
    <row r="274" customFormat="false" ht="15.75" hidden="false" customHeight="false" outlineLevel="0" collapsed="false">
      <c r="A274" s="18" t="n">
        <v>273</v>
      </c>
      <c r="B274" s="32" t="n">
        <v>3364</v>
      </c>
      <c r="C274" s="20" t="s">
        <v>653</v>
      </c>
      <c r="D274" s="20" t="s">
        <v>426</v>
      </c>
      <c r="E274" s="20" t="s">
        <v>654</v>
      </c>
      <c r="F274" s="20" t="s">
        <v>67</v>
      </c>
      <c r="G274" s="20" t="n">
        <f aca="false">VLOOKUP(B274,'[3]april (2)'!B$8:H$132,7,0)</f>
        <v>13510</v>
      </c>
      <c r="H274" s="26" t="n">
        <f aca="false">VLOOKUP(B274,'[3]april (2)'!B$8:N$132,13,0)</f>
        <v>13510</v>
      </c>
      <c r="I274" s="20" t="str">
        <f aca="false">VLOOKUP(B274,[2]depot!$B$2:$F$55,5,0)</f>
        <v>CPD</v>
      </c>
      <c r="J274" s="42" t="s">
        <v>634</v>
      </c>
      <c r="K274" s="26" t="s">
        <v>3</v>
      </c>
      <c r="L274" s="24" t="n">
        <f aca="false">IF(H274&gt;23335,0,(H274*90%*4.75%))</f>
        <v>577.5525</v>
      </c>
      <c r="M274" s="24" t="n">
        <f aca="false">IF(H274*60%*12%&gt;1800,1974,(H274*60%*13.16%))</f>
        <v>1066.7496</v>
      </c>
      <c r="N274" s="25" t="n">
        <f aca="false">H274+L274+M274</f>
        <v>15154.3021</v>
      </c>
    </row>
    <row r="275" customFormat="false" ht="15.75" hidden="false" customHeight="false" outlineLevel="0" collapsed="false">
      <c r="A275" s="19" t="n">
        <v>274</v>
      </c>
      <c r="B275" s="32" t="n">
        <v>3452</v>
      </c>
      <c r="C275" s="20" t="s">
        <v>655</v>
      </c>
      <c r="D275" s="20" t="s">
        <v>656</v>
      </c>
      <c r="E275" s="20" t="s">
        <v>657</v>
      </c>
      <c r="F275" s="20" t="s">
        <v>109</v>
      </c>
      <c r="G275" s="20" t="n">
        <f aca="false">VLOOKUP(B275,'[3]april (2)'!B$8:H$132,7,0)</f>
        <v>12430</v>
      </c>
      <c r="H275" s="26" t="n">
        <f aca="false">VLOOKUP(B275,'[3]april (2)'!B$8:N$132,13,0)</f>
        <v>12430</v>
      </c>
      <c r="I275" s="20" t="str">
        <f aca="false">VLOOKUP(B275,[2]depot!$B$2:$F$55,5,0)</f>
        <v>CPD</v>
      </c>
      <c r="J275" s="42" t="s">
        <v>634</v>
      </c>
      <c r="K275" s="26" t="s">
        <v>3</v>
      </c>
      <c r="L275" s="24" t="n">
        <f aca="false">IF(H275&gt;23335,0,(H275*90%*4.75%))</f>
        <v>531.3825</v>
      </c>
      <c r="M275" s="24" t="n">
        <f aca="false">IF(H275*60%*12%&gt;1800,1974,(H275*60%*13.16%))</f>
        <v>981.4728</v>
      </c>
      <c r="N275" s="25" t="n">
        <f aca="false">H275+L275+M275</f>
        <v>13942.8553</v>
      </c>
    </row>
    <row r="276" customFormat="false" ht="15.75" hidden="false" customHeight="false" outlineLevel="0" collapsed="false">
      <c r="A276" s="18" t="n">
        <v>275</v>
      </c>
      <c r="B276" s="32" t="n">
        <v>3473</v>
      </c>
      <c r="C276" s="20" t="s">
        <v>658</v>
      </c>
      <c r="D276" s="20" t="s">
        <v>426</v>
      </c>
      <c r="E276" s="20" t="s">
        <v>659</v>
      </c>
      <c r="F276" s="20" t="s">
        <v>109</v>
      </c>
      <c r="G276" s="20" t="n">
        <f aca="false">VLOOKUP(B276,'[3]april (2)'!B$8:H$132,7,0)</f>
        <v>12430</v>
      </c>
      <c r="H276" s="26" t="n">
        <f aca="false">VLOOKUP(B276,'[3]april (2)'!B$8:N$132,13,0)</f>
        <v>12430</v>
      </c>
      <c r="I276" s="20" t="str">
        <f aca="false">VLOOKUP(B276,[2]depot!$B$2:$F$55,5,0)</f>
        <v>CPD</v>
      </c>
      <c r="J276" s="42" t="s">
        <v>634</v>
      </c>
      <c r="K276" s="26" t="s">
        <v>3</v>
      </c>
      <c r="L276" s="24" t="n">
        <f aca="false">IF(H276&gt;23335,0,(H276*90%*4.75%))</f>
        <v>531.3825</v>
      </c>
      <c r="M276" s="24" t="n">
        <f aca="false">IF(H276*60%*12%&gt;1800,1974,(H276*60%*13.16%))</f>
        <v>981.4728</v>
      </c>
      <c r="N276" s="25" t="n">
        <f aca="false">H276+L276+M276</f>
        <v>13942.8553</v>
      </c>
    </row>
    <row r="277" customFormat="false" ht="15.75" hidden="false" customHeight="false" outlineLevel="0" collapsed="false">
      <c r="A277" s="19" t="n">
        <v>276</v>
      </c>
      <c r="B277" s="32" t="n">
        <v>3557</v>
      </c>
      <c r="C277" s="20" t="s">
        <v>660</v>
      </c>
      <c r="D277" s="20" t="s">
        <v>606</v>
      </c>
      <c r="E277" s="20" t="s">
        <v>661</v>
      </c>
      <c r="F277" s="20" t="s">
        <v>109</v>
      </c>
      <c r="G277" s="20" t="n">
        <f aca="false">VLOOKUP(B277,'[3]april (2)'!B$8:H$132,7,0)</f>
        <v>12930</v>
      </c>
      <c r="H277" s="26" t="n">
        <f aca="false">VLOOKUP(B277,'[3]april (2)'!B$8:N$132,13,0)</f>
        <v>12930</v>
      </c>
      <c r="I277" s="20" t="str">
        <f aca="false">VLOOKUP(B277,[2]depot!$B$2:$F$55,5,0)</f>
        <v>CPD</v>
      </c>
      <c r="J277" s="42" t="s">
        <v>634</v>
      </c>
      <c r="K277" s="26" t="s">
        <v>3</v>
      </c>
      <c r="L277" s="24" t="n">
        <f aca="false">IF(H277&gt;23335,0,(H277*90%*4.75%))</f>
        <v>552.7575</v>
      </c>
      <c r="M277" s="24" t="n">
        <f aca="false">IF(H277*60%*12%&gt;1800,1974,(H277*60%*13.16%))</f>
        <v>1020.9528</v>
      </c>
      <c r="N277" s="25" t="n">
        <f aca="false">H277+L277+M277</f>
        <v>14503.7103</v>
      </c>
    </row>
    <row r="278" customFormat="false" ht="15.75" hidden="false" customHeight="false" outlineLevel="0" collapsed="false">
      <c r="A278" s="18" t="n">
        <v>277</v>
      </c>
      <c r="B278" s="20" t="n">
        <v>3602</v>
      </c>
      <c r="C278" s="37" t="s">
        <v>662</v>
      </c>
      <c r="D278" s="37" t="s">
        <v>663</v>
      </c>
      <c r="E278" s="20" t="s">
        <v>664</v>
      </c>
      <c r="F278" s="20" t="s">
        <v>109</v>
      </c>
      <c r="G278" s="20" t="n">
        <f aca="false">VLOOKUP(B278,'[3]april (2)'!B$8:H$132,7,0)</f>
        <v>11100</v>
      </c>
      <c r="H278" s="26" t="n">
        <f aca="false">VLOOKUP(B278,'[3]april (2)'!B$8:N$132,13,0)</f>
        <v>11100</v>
      </c>
      <c r="I278" s="20" t="str">
        <f aca="false">VLOOKUP(B278,[2]depot!$B$2:$F$55,5,0)</f>
        <v>CPD</v>
      </c>
      <c r="J278" s="42" t="s">
        <v>634</v>
      </c>
      <c r="K278" s="26" t="s">
        <v>3</v>
      </c>
      <c r="L278" s="24" t="n">
        <f aca="false">IF(H278&gt;23335,0,(H278*90%*4.75%))</f>
        <v>474.525</v>
      </c>
      <c r="M278" s="24" t="n">
        <f aca="false">IF(H278*60%*12%&gt;1800,1974,(H278*60%*13.16%))</f>
        <v>876.456</v>
      </c>
      <c r="N278" s="25" t="n">
        <f aca="false">H278+L278+M278</f>
        <v>12450.981</v>
      </c>
    </row>
    <row r="279" customFormat="false" ht="15.75" hidden="false" customHeight="false" outlineLevel="0" collapsed="false">
      <c r="A279" s="19" t="n">
        <v>278</v>
      </c>
      <c r="B279" s="20" t="n">
        <v>3910</v>
      </c>
      <c r="C279" s="32" t="s">
        <v>665</v>
      </c>
      <c r="D279" s="32" t="s">
        <v>666</v>
      </c>
      <c r="E279" s="20" t="s">
        <v>667</v>
      </c>
      <c r="F279" s="20" t="s">
        <v>109</v>
      </c>
      <c r="G279" s="20" t="n">
        <f aca="false">VLOOKUP(B279,'[3]april (2)'!B$8:H$132,7,0)</f>
        <v>13840</v>
      </c>
      <c r="H279" s="26" t="n">
        <f aca="false">VLOOKUP(B279,'[3]april (2)'!B$8:N$132,13,0)</f>
        <v>13840</v>
      </c>
      <c r="I279" s="20" t="str">
        <f aca="false">VLOOKUP(B279,[2]depot!$B$2:$F$55,5,0)</f>
        <v>CPD</v>
      </c>
      <c r="J279" s="42" t="s">
        <v>7</v>
      </c>
      <c r="K279" s="26" t="s">
        <v>3</v>
      </c>
      <c r="L279" s="24" t="n">
        <f aca="false">IF(H279&gt;23335,0,(H279*90%*4.75%))</f>
        <v>591.66</v>
      </c>
      <c r="M279" s="24" t="n">
        <f aca="false">IF(H279*60%*12%&gt;1800,1974,(H279*60%*13.16%))</f>
        <v>1092.8064</v>
      </c>
      <c r="N279" s="25" t="n">
        <f aca="false">H279+L279+M279</f>
        <v>15524.4664</v>
      </c>
    </row>
    <row r="280" customFormat="false" ht="15.75" hidden="false" customHeight="false" outlineLevel="0" collapsed="false">
      <c r="A280" s="18" t="n">
        <v>279</v>
      </c>
      <c r="B280" s="43" t="n">
        <v>4043</v>
      </c>
      <c r="C280" s="32" t="s">
        <v>668</v>
      </c>
      <c r="D280" s="32" t="s">
        <v>666</v>
      </c>
      <c r="E280" s="20" t="s">
        <v>669</v>
      </c>
      <c r="F280" s="20" t="s">
        <v>338</v>
      </c>
      <c r="G280" s="20" t="n">
        <f aca="false">VLOOKUP(B280,'[3]april (2)'!B$8:H$132,7,0)</f>
        <v>12000</v>
      </c>
      <c r="H280" s="26" t="n">
        <f aca="false">VLOOKUP(B280,'[3]april (2)'!B$8:N$132,13,0)</f>
        <v>12000</v>
      </c>
      <c r="I280" s="20" t="str">
        <f aca="false">VLOOKUP(B280,[2]depot!$B$2:$F$55,5,0)</f>
        <v>CPD</v>
      </c>
      <c r="J280" s="42" t="s">
        <v>634</v>
      </c>
      <c r="K280" s="26" t="s">
        <v>3</v>
      </c>
      <c r="L280" s="24" t="n">
        <f aca="false">IF(H280&gt;23335,0,(H280*90%*4.75%))</f>
        <v>513</v>
      </c>
      <c r="M280" s="24" t="n">
        <f aca="false">IF(H280*60%*12%&gt;1800,1974,(H280*60%*13.16%))</f>
        <v>947.52</v>
      </c>
      <c r="N280" s="25" t="n">
        <f aca="false">H280+L280+M280</f>
        <v>13460.52</v>
      </c>
    </row>
    <row r="281" customFormat="false" ht="15.75" hidden="false" customHeight="false" outlineLevel="0" collapsed="false">
      <c r="A281" s="19" t="n">
        <v>280</v>
      </c>
      <c r="B281" s="43" t="n">
        <v>4031</v>
      </c>
      <c r="C281" s="32" t="s">
        <v>670</v>
      </c>
      <c r="D281" s="32" t="s">
        <v>426</v>
      </c>
      <c r="E281" s="20" t="s">
        <v>671</v>
      </c>
      <c r="F281" s="20" t="s">
        <v>331</v>
      </c>
      <c r="G281" s="20" t="n">
        <f aca="false">VLOOKUP(B281,'[3]april (2)'!B$8:H$132,7,0)</f>
        <v>10000</v>
      </c>
      <c r="H281" s="26" t="n">
        <f aca="false">VLOOKUP(B281,'[3]april (2)'!B$8:N$132,13,0)</f>
        <v>10000</v>
      </c>
      <c r="I281" s="20" t="str">
        <f aca="false">VLOOKUP(B281,[2]depot!$B$2:$F$55,5,0)</f>
        <v>CPD</v>
      </c>
      <c r="J281" s="42" t="s">
        <v>634</v>
      </c>
      <c r="K281" s="26" t="s">
        <v>3</v>
      </c>
      <c r="L281" s="24" t="n">
        <f aca="false">IF(H281&gt;23335,0,(H281*90%*4.75%))</f>
        <v>427.5</v>
      </c>
      <c r="M281" s="24" t="n">
        <f aca="false">IF(H281*60%*12%&gt;1800,1974,(H281*60%*13.16%))</f>
        <v>789.6</v>
      </c>
      <c r="N281" s="25" t="n">
        <f aca="false">H281+L281+M281</f>
        <v>11217.1</v>
      </c>
    </row>
    <row r="282" customFormat="false" ht="15.75" hidden="false" customHeight="false" outlineLevel="0" collapsed="false">
      <c r="A282" s="18" t="n">
        <v>281</v>
      </c>
      <c r="B282" s="25" t="n">
        <v>4200</v>
      </c>
      <c r="C282" s="30" t="s">
        <v>672</v>
      </c>
      <c r="D282" s="44" t="s">
        <v>673</v>
      </c>
      <c r="E282" s="20" t="s">
        <v>674</v>
      </c>
      <c r="F282" s="20" t="s">
        <v>338</v>
      </c>
      <c r="G282" s="20" t="n">
        <f aca="false">VLOOKUP(B282,'[3]april (2)'!B$8:H$132,7,0)</f>
        <v>10000</v>
      </c>
      <c r="H282" s="45" t="n">
        <f aca="false">VLOOKUP(B282,'[3]april (2)'!B$8:N$132,13,0)</f>
        <v>4666.67</v>
      </c>
      <c r="I282" s="20" t="str">
        <f aca="false">VLOOKUP(B282,[2]depot!$B$2:$F$55,5,0)</f>
        <v>CPD</v>
      </c>
      <c r="J282" s="42" t="s">
        <v>634</v>
      </c>
      <c r="K282" s="44" t="s">
        <v>3</v>
      </c>
      <c r="L282" s="24" t="n">
        <f aca="false">IF(H282&gt;23335,0,(H282*90%*4.75%))</f>
        <v>199.5001425</v>
      </c>
      <c r="M282" s="24" t="n">
        <f aca="false">IF(H282*60%*12%&gt;1800,1974,(H282*60%*13.16%))</f>
        <v>368.4802632</v>
      </c>
      <c r="N282" s="25" t="n">
        <f aca="false">H282+L282+M282</f>
        <v>5234.6504057</v>
      </c>
    </row>
    <row r="283" customFormat="false" ht="15.75" hidden="false" customHeight="false" outlineLevel="0" collapsed="false">
      <c r="A283" s="19" t="n">
        <v>282</v>
      </c>
      <c r="B283" s="25" t="n">
        <v>4201</v>
      </c>
      <c r="C283" s="30" t="s">
        <v>675</v>
      </c>
      <c r="D283" s="44" t="s">
        <v>673</v>
      </c>
      <c r="E283" s="20" t="s">
        <v>676</v>
      </c>
      <c r="F283" s="20" t="s">
        <v>338</v>
      </c>
      <c r="G283" s="20" t="n">
        <f aca="false">VLOOKUP(B283,'[3]april (2)'!B$8:H$132,7,0)</f>
        <v>10000</v>
      </c>
      <c r="H283" s="26" t="n">
        <f aca="false">VLOOKUP(B283,'[3]april (2)'!B$8:N$132,13,0)</f>
        <v>10000</v>
      </c>
      <c r="I283" s="20" t="str">
        <f aca="false">VLOOKUP(B283,[2]depot!$B$2:$F$55,5,0)</f>
        <v>CPD</v>
      </c>
      <c r="J283" s="42" t="s">
        <v>634</v>
      </c>
      <c r="K283" s="44" t="s">
        <v>3</v>
      </c>
      <c r="L283" s="24" t="n">
        <f aca="false">IF(H283&gt;23335,0,(H283*90%*4.75%))</f>
        <v>427.5</v>
      </c>
      <c r="M283" s="24" t="n">
        <f aca="false">IF(H283*60%*12%&gt;1800,1974,(H283*60%*13.16%))</f>
        <v>789.6</v>
      </c>
      <c r="N283" s="25" t="n">
        <f aca="false">H283+L283+M283</f>
        <v>11217.1</v>
      </c>
    </row>
    <row r="284" customFormat="false" ht="15.75" hidden="false" customHeight="false" outlineLevel="0" collapsed="false">
      <c r="A284" s="18" t="n">
        <v>283</v>
      </c>
      <c r="B284" s="25" t="n">
        <v>4270</v>
      </c>
      <c r="C284" s="30" t="s">
        <v>677</v>
      </c>
      <c r="D284" s="44" t="s">
        <v>678</v>
      </c>
      <c r="E284" s="20" t="s">
        <v>679</v>
      </c>
      <c r="F284" s="20" t="s">
        <v>338</v>
      </c>
      <c r="G284" s="20" t="n">
        <f aca="false">VLOOKUP(B284,'[3]april (2)'!B$8:H$132,7,0)</f>
        <v>12000</v>
      </c>
      <c r="H284" s="26" t="n">
        <f aca="false">VLOOKUP(B284,'[3]april (2)'!B$8:N$132,13,0)</f>
        <v>12000</v>
      </c>
      <c r="I284" s="20" t="str">
        <f aca="false">VLOOKUP(B284,[2]depot!$B$2:$F$55,5,0)</f>
        <v>CPD</v>
      </c>
      <c r="J284" s="42" t="s">
        <v>634</v>
      </c>
      <c r="K284" s="44" t="s">
        <v>3</v>
      </c>
      <c r="L284" s="24" t="n">
        <f aca="false">IF(H284&gt;23335,0,(H284*90%*4.75%))</f>
        <v>513</v>
      </c>
      <c r="M284" s="24" t="n">
        <f aca="false">IF(H284*60%*12%&gt;1800,1974,(H284*60%*13.16%))</f>
        <v>947.52</v>
      </c>
      <c r="N284" s="25" t="n">
        <f aca="false">H284+L284+M284</f>
        <v>13460.52</v>
      </c>
    </row>
    <row r="285" customFormat="false" ht="15.75" hidden="false" customHeight="false" outlineLevel="0" collapsed="false">
      <c r="A285" s="19" t="n">
        <v>284</v>
      </c>
      <c r="B285" s="44" t="n">
        <v>4112</v>
      </c>
      <c r="C285" s="44" t="s">
        <v>680</v>
      </c>
      <c r="D285" s="20" t="s">
        <v>666</v>
      </c>
      <c r="E285" s="20" t="s">
        <v>681</v>
      </c>
      <c r="F285" s="20" t="s">
        <v>338</v>
      </c>
      <c r="G285" s="20" t="n">
        <f aca="false">VLOOKUP(B285,'[3]april (2)'!B$8:H$132,7,0)</f>
        <v>10000</v>
      </c>
      <c r="H285" s="26" t="n">
        <f aca="false">VLOOKUP(B285,'[3]april (2)'!B$8:N$132,13,0)</f>
        <v>9000</v>
      </c>
      <c r="I285" s="20" t="str">
        <f aca="false">VLOOKUP(B285,'[2]sales support'!$B$2:$G$72,6,0)</f>
        <v>CPD</v>
      </c>
      <c r="J285" s="42" t="s">
        <v>568</v>
      </c>
      <c r="K285" s="44" t="s">
        <v>3</v>
      </c>
      <c r="L285" s="24" t="n">
        <f aca="false">IF(H285&gt;23335,0,(H285*90%*4.75%))</f>
        <v>384.75</v>
      </c>
      <c r="M285" s="24" t="n">
        <f aca="false">IF(H285*60%*12%&gt;1800,1974,(H285*60%*13.16%))</f>
        <v>710.64</v>
      </c>
      <c r="N285" s="25" t="n">
        <f aca="false">H285+L285+M285</f>
        <v>10095.39</v>
      </c>
    </row>
    <row r="286" customFormat="false" ht="15.75" hidden="false" customHeight="false" outlineLevel="0" collapsed="false">
      <c r="A286" s="18" t="n">
        <v>285</v>
      </c>
      <c r="B286" s="44" t="n">
        <v>4932</v>
      </c>
      <c r="C286" s="44" t="s">
        <v>682</v>
      </c>
      <c r="D286" s="32" t="s">
        <v>426</v>
      </c>
      <c r="E286" s="20" t="s">
        <v>683</v>
      </c>
      <c r="F286" s="20" t="s">
        <v>109</v>
      </c>
      <c r="G286" s="20" t="n">
        <f aca="false">VLOOKUP(B286,'[3]april (2)'!B$8:H$132,7,0)</f>
        <v>12000</v>
      </c>
      <c r="H286" s="26" t="n">
        <f aca="false">VLOOKUP(B286,'[3]april (2)'!B$8:N$132,13,0)</f>
        <v>12000</v>
      </c>
      <c r="I286" s="20" t="str">
        <f aca="false">VLOOKUP(B286,[2]depot!$B$2:$F$55,5,0)</f>
        <v>Bulk </v>
      </c>
      <c r="J286" s="42" t="s">
        <v>684</v>
      </c>
      <c r="K286" s="44" t="s">
        <v>3</v>
      </c>
      <c r="L286" s="24" t="n">
        <f aca="false">IF(H286&gt;23335,0,(H286*90%*4.75%))</f>
        <v>513</v>
      </c>
      <c r="M286" s="24" t="n">
        <f aca="false">IF(H286*60%*12%&gt;1800,1974,(H286*60%*13.16%))</f>
        <v>947.52</v>
      </c>
      <c r="N286" s="25" t="n">
        <f aca="false">H286+L286+M286</f>
        <v>13460.52</v>
      </c>
    </row>
    <row r="287" customFormat="false" ht="15.75" hidden="false" customHeight="false" outlineLevel="0" collapsed="false">
      <c r="A287" s="19" t="n">
        <v>286</v>
      </c>
      <c r="B287" s="20" t="n">
        <v>4050</v>
      </c>
      <c r="C287" s="20" t="s">
        <v>685</v>
      </c>
      <c r="D287" s="20" t="s">
        <v>686</v>
      </c>
      <c r="E287" s="20" t="s">
        <v>687</v>
      </c>
      <c r="F287" s="20" t="s">
        <v>299</v>
      </c>
      <c r="G287" s="20" t="n">
        <f aca="false">VLOOKUP(B287,'[5]Hosur-Apr''18'!B$5:H$127,7,0)</f>
        <v>20000</v>
      </c>
      <c r="H287" s="43" t="n">
        <f aca="false">VLOOKUP(B287,'[5]Hosur-Apr''18'!B$5:M$127,12,0)</f>
        <v>20000</v>
      </c>
      <c r="I287" s="20" t="s">
        <v>688</v>
      </c>
      <c r="J287" s="42" t="s">
        <v>689</v>
      </c>
      <c r="K287" s="20" t="s">
        <v>690</v>
      </c>
      <c r="L287" s="24" t="n">
        <f aca="false">IF(H287&gt;21000,0,(H287*4.75%))</f>
        <v>950</v>
      </c>
      <c r="M287" s="24" t="n">
        <f aca="false">IF(H287*70%*12%&gt;1800,1974,(H287*70%*13.16%))</f>
        <v>1842.4</v>
      </c>
      <c r="N287" s="25" t="n">
        <f aca="false">H287+L287+M287</f>
        <v>22792.4</v>
      </c>
    </row>
    <row r="288" customFormat="false" ht="15.75" hidden="false" customHeight="false" outlineLevel="0" collapsed="false">
      <c r="A288" s="18" t="n">
        <v>287</v>
      </c>
      <c r="B288" s="32" t="n">
        <v>3671</v>
      </c>
      <c r="C288" s="20" t="s">
        <v>691</v>
      </c>
      <c r="D288" s="20" t="s">
        <v>297</v>
      </c>
      <c r="E288" s="20" t="s">
        <v>692</v>
      </c>
      <c r="F288" s="20" t="s">
        <v>299</v>
      </c>
      <c r="G288" s="20" t="n">
        <f aca="false">VLOOKUP(B288,'[5]Hosur-Apr''18'!B$5:H$127,7,0)</f>
        <v>21390</v>
      </c>
      <c r="H288" s="43" t="n">
        <f aca="false">VLOOKUP(B288,'[5]Hosur-Apr''18'!B$5:M$127,12,0)</f>
        <v>21390</v>
      </c>
      <c r="I288" s="20" t="s">
        <v>688</v>
      </c>
      <c r="J288" s="42" t="s">
        <v>42</v>
      </c>
      <c r="K288" s="20" t="s">
        <v>690</v>
      </c>
      <c r="L288" s="24" t="n">
        <f aca="false">IF(H288&gt;21000,0,(H288*4.75%))</f>
        <v>0</v>
      </c>
      <c r="M288" s="24" t="n">
        <f aca="false">IF(H288*70%*12%&gt;1800,1974,(H288*70%*13.16%))</f>
        <v>1970.4468</v>
      </c>
      <c r="N288" s="25" t="n">
        <f aca="false">H288+L288+M288</f>
        <v>23360.4468</v>
      </c>
    </row>
    <row r="289" customFormat="false" ht="15.75" hidden="false" customHeight="false" outlineLevel="0" collapsed="false">
      <c r="A289" s="19" t="n">
        <v>288</v>
      </c>
      <c r="B289" s="25" t="n">
        <v>3884</v>
      </c>
      <c r="C289" s="20" t="s">
        <v>693</v>
      </c>
      <c r="D289" s="20" t="s">
        <v>619</v>
      </c>
      <c r="E289" s="30" t="s">
        <v>694</v>
      </c>
      <c r="F289" s="30" t="s">
        <v>299</v>
      </c>
      <c r="G289" s="20" t="n">
        <f aca="false">VLOOKUP(B289,'[5]Hosur-Apr''18'!B$5:H$127,7,0)</f>
        <v>18810</v>
      </c>
      <c r="H289" s="43" t="n">
        <f aca="false">VLOOKUP(B289,'[5]Hosur-Apr''18'!B$5:M$127,12,0)</f>
        <v>18810</v>
      </c>
      <c r="I289" s="20" t="str">
        <f aca="false">VLOOKUP(B289,'[2]sales support'!$B$2:$G$72,6,0)</f>
        <v>chennai</v>
      </c>
      <c r="J289" s="42" t="s">
        <v>695</v>
      </c>
      <c r="K289" s="20" t="s">
        <v>7</v>
      </c>
      <c r="L289" s="24" t="n">
        <f aca="false">IF(H289&gt;21000,0,(H289*4.75%))</f>
        <v>893.475</v>
      </c>
      <c r="M289" s="24" t="n">
        <f aca="false">IF(H289*70%*12%&gt;1800,1974,(H289*70%*13.16%))</f>
        <v>1732.7772</v>
      </c>
      <c r="N289" s="25" t="n">
        <f aca="false">H289+L289+M289</f>
        <v>21436.2522</v>
      </c>
    </row>
    <row r="290" customFormat="false" ht="15.75" hidden="false" customHeight="false" outlineLevel="0" collapsed="false">
      <c r="A290" s="18" t="n">
        <v>289</v>
      </c>
      <c r="B290" s="20" t="n">
        <v>4055</v>
      </c>
      <c r="C290" s="20" t="s">
        <v>696</v>
      </c>
      <c r="D290" s="20" t="s">
        <v>697</v>
      </c>
      <c r="E290" s="20" t="s">
        <v>698</v>
      </c>
      <c r="F290" s="20" t="s">
        <v>299</v>
      </c>
      <c r="G290" s="20" t="n">
        <f aca="false">VLOOKUP(B290,'[5]Hosur-Apr''18'!B$5:H$127,7,0)</f>
        <v>19500</v>
      </c>
      <c r="H290" s="43" t="n">
        <f aca="false">VLOOKUP(B290,'[5]Hosur-Apr''18'!B$5:M$127,12,0)</f>
        <v>19500</v>
      </c>
      <c r="I290" s="20" t="s">
        <v>699</v>
      </c>
      <c r="J290" s="20" t="s">
        <v>689</v>
      </c>
      <c r="K290" s="20" t="s">
        <v>7</v>
      </c>
      <c r="L290" s="24" t="n">
        <f aca="false">IF(H290&gt;21000,0,(H290*4.75%))</f>
        <v>926.25</v>
      </c>
      <c r="M290" s="24" t="n">
        <f aca="false">IF(H290*70%*12%&gt;1800,1974,(H290*70%*13.16%))</f>
        <v>1796.34</v>
      </c>
      <c r="N290" s="25" t="n">
        <f aca="false">H290+L290+M290</f>
        <v>22222.59</v>
      </c>
    </row>
    <row r="291" customFormat="false" ht="15.75" hidden="false" customHeight="false" outlineLevel="0" collapsed="false">
      <c r="A291" s="19" t="n">
        <v>290</v>
      </c>
      <c r="B291" s="20" t="n">
        <v>4187</v>
      </c>
      <c r="C291" s="20" t="s">
        <v>700</v>
      </c>
      <c r="D291" s="20" t="s">
        <v>701</v>
      </c>
      <c r="E291" s="20" t="s">
        <v>702</v>
      </c>
      <c r="F291" s="20" t="s">
        <v>109</v>
      </c>
      <c r="G291" s="20" t="n">
        <f aca="false">VLOOKUP(B291,'[5]Hosur-Apr''18'!B$5:H$127,7,0)</f>
        <v>16000</v>
      </c>
      <c r="H291" s="43" t="n">
        <f aca="false">VLOOKUP(B291,'[5]Hosur-Apr''18'!B$5:M$127,12,0)</f>
        <v>16000</v>
      </c>
      <c r="I291" s="20" t="s">
        <v>688</v>
      </c>
      <c r="J291" s="20" t="s">
        <v>689</v>
      </c>
      <c r="K291" s="20" t="s">
        <v>7</v>
      </c>
      <c r="L291" s="24" t="n">
        <f aca="false">IF(H291&gt;21000,0,(H291*4.75%))</f>
        <v>760</v>
      </c>
      <c r="M291" s="24" t="n">
        <f aca="false">IF(H291*70%*12%&gt;1800,1974,(H291*70%*13.16%))</f>
        <v>1473.92</v>
      </c>
      <c r="N291" s="25" t="n">
        <f aca="false">H291+L291+M291</f>
        <v>18233.92</v>
      </c>
    </row>
    <row r="292" customFormat="false" ht="15.75" hidden="false" customHeight="false" outlineLevel="0" collapsed="false">
      <c r="A292" s="18" t="n">
        <v>291</v>
      </c>
      <c r="B292" s="20" t="n">
        <v>4498</v>
      </c>
      <c r="C292" s="20" t="s">
        <v>703</v>
      </c>
      <c r="D292" s="20" t="s">
        <v>704</v>
      </c>
      <c r="E292" s="20" t="s">
        <v>705</v>
      </c>
      <c r="F292" s="20" t="s">
        <v>109</v>
      </c>
      <c r="G292" s="20" t="n">
        <f aca="false">VLOOKUP(B292,'[5]Hosur-Apr''18'!B$5:H$127,7,0)</f>
        <v>16300</v>
      </c>
      <c r="H292" s="43" t="n">
        <f aca="false">VLOOKUP(B292,'[5]Hosur-Apr''18'!B$5:M$127,12,0)</f>
        <v>16300</v>
      </c>
      <c r="I292" s="20" t="s">
        <v>688</v>
      </c>
      <c r="J292" s="20" t="s">
        <v>42</v>
      </c>
      <c r="K292" s="20" t="s">
        <v>7</v>
      </c>
      <c r="L292" s="24" t="n">
        <f aca="false">IF(H292&gt;21000,0,(H292*4.75%))</f>
        <v>774.25</v>
      </c>
      <c r="M292" s="24" t="n">
        <f aca="false">IF(H292*70%*12%&gt;1800,1974,(H292*70%*13.16%))</f>
        <v>1501.556</v>
      </c>
      <c r="N292" s="25" t="n">
        <f aca="false">H292+L292+M292</f>
        <v>18575.806</v>
      </c>
    </row>
    <row r="293" customFormat="false" ht="15.75" hidden="false" customHeight="false" outlineLevel="0" collapsed="false">
      <c r="A293" s="19" t="n">
        <v>292</v>
      </c>
      <c r="B293" s="20" t="n">
        <v>4562</v>
      </c>
      <c r="C293" s="20" t="s">
        <v>706</v>
      </c>
      <c r="D293" s="20" t="s">
        <v>707</v>
      </c>
      <c r="E293" s="20" t="s">
        <v>570</v>
      </c>
      <c r="F293" s="20" t="s">
        <v>299</v>
      </c>
      <c r="G293" s="20" t="n">
        <f aca="false">VLOOKUP(B293,'[5]Hosur-Apr''18'!B$5:H$127,7,0)</f>
        <v>19000</v>
      </c>
      <c r="H293" s="43" t="n">
        <f aca="false">VLOOKUP(B293,'[5]Hosur-Apr''18'!B$5:M$127,12,0)</f>
        <v>19000</v>
      </c>
      <c r="I293" s="20" t="str">
        <f aca="false">VLOOKUP(B293,'[2]sales support'!$B$2:$G$72,6,0)</f>
        <v>Accounts</v>
      </c>
      <c r="J293" s="20" t="s">
        <v>7</v>
      </c>
      <c r="K293" s="20" t="s">
        <v>7</v>
      </c>
      <c r="L293" s="24" t="n">
        <f aca="false">IF(H293&gt;21000,0,(H293*4.75%))</f>
        <v>902.5</v>
      </c>
      <c r="M293" s="24" t="n">
        <f aca="false">IF(H293*70%*12%&gt;1800,1974,(H293*70%*13.16%))</f>
        <v>1750.28</v>
      </c>
      <c r="N293" s="25" t="n">
        <f aca="false">H293+L293+M293</f>
        <v>21652.78</v>
      </c>
    </row>
    <row r="294" customFormat="false" ht="15.75" hidden="false" customHeight="false" outlineLevel="0" collapsed="false">
      <c r="A294" s="18" t="n">
        <v>293</v>
      </c>
      <c r="B294" s="25" t="n">
        <v>3923</v>
      </c>
      <c r="C294" s="32" t="s">
        <v>708</v>
      </c>
      <c r="D294" s="32" t="s">
        <v>709</v>
      </c>
      <c r="E294" s="30" t="s">
        <v>710</v>
      </c>
      <c r="F294" s="30" t="s">
        <v>299</v>
      </c>
      <c r="G294" s="20" t="n">
        <f aca="false">VLOOKUP(B294,[9]Staff!B$8:H$245,7,0)</f>
        <v>15860</v>
      </c>
      <c r="H294" s="26" t="n">
        <f aca="false">VLOOKUP(B294,[9]Staff!B$7:P$245,15,0)</f>
        <v>15860</v>
      </c>
      <c r="I294" s="20" t="str">
        <f aca="false">VLOOKUP(B294,[2]depot!$B$2:$F$55,5,0)</f>
        <v>Accounts</v>
      </c>
      <c r="J294" s="42" t="s">
        <v>10</v>
      </c>
      <c r="K294" s="20" t="s">
        <v>10</v>
      </c>
      <c r="L294" s="24" t="n">
        <f aca="false">IF(H294&gt;23335,0,(H294*90%*4.75%))</f>
        <v>678.015</v>
      </c>
      <c r="M294" s="24" t="n">
        <f aca="false">IF(H294*60%*12%&gt;1800,1974,(H294*60%*13.16%))</f>
        <v>1252.3056</v>
      </c>
      <c r="N294" s="25" t="n">
        <f aca="false">H294+L294+M294</f>
        <v>17790.3206</v>
      </c>
    </row>
    <row r="295" customFormat="false" ht="15.75" hidden="false" customHeight="false" outlineLevel="0" collapsed="false">
      <c r="A295" s="19" t="n">
        <v>294</v>
      </c>
      <c r="B295" s="25" t="n">
        <v>4585</v>
      </c>
      <c r="C295" s="32" t="s">
        <v>711</v>
      </c>
      <c r="D295" s="32" t="s">
        <v>712</v>
      </c>
      <c r="E295" s="30" t="s">
        <v>713</v>
      </c>
      <c r="F295" s="30" t="s">
        <v>338</v>
      </c>
      <c r="G295" s="20" t="n">
        <f aca="false">VLOOKUP(B295,[9]Staff!B$8:H$245,7,0)</f>
        <v>11000</v>
      </c>
      <c r="H295" s="26" t="n">
        <f aca="false">VLOOKUP(B295,[9]Staff!B$7:P$245,15,0)</f>
        <v>11000</v>
      </c>
      <c r="I295" s="20" t="str">
        <f aca="false">VLOOKUP(B295,'[2]sales support'!$B$2:$G$72,6,0)</f>
        <v>Accounts</v>
      </c>
      <c r="J295" s="42" t="s">
        <v>634</v>
      </c>
      <c r="K295" s="20" t="s">
        <v>10</v>
      </c>
      <c r="L295" s="24" t="n">
        <f aca="false">IF(H295&gt;23335,0,(H295*90%*4.75%))</f>
        <v>470.25</v>
      </c>
      <c r="M295" s="24" t="n">
        <f aca="false">IF(H295*60%*12%&gt;1800,1974,(H295*60%*13.16%))</f>
        <v>868.56</v>
      </c>
      <c r="N295" s="25" t="n">
        <f aca="false">H295+L295+M295</f>
        <v>12338.81</v>
      </c>
    </row>
    <row r="296" customFormat="false" ht="15.75" hidden="false" customHeight="false" outlineLevel="0" collapsed="false">
      <c r="A296" s="18" t="n">
        <v>295</v>
      </c>
      <c r="B296" s="20" t="n">
        <v>3989</v>
      </c>
      <c r="C296" s="32" t="s">
        <v>714</v>
      </c>
      <c r="D296" s="26" t="s">
        <v>715</v>
      </c>
      <c r="E296" s="20" t="s">
        <v>716</v>
      </c>
      <c r="F296" s="20" t="s">
        <v>299</v>
      </c>
      <c r="G296" s="20" t="n">
        <f aca="false">VLOOKUP(B296,[9]Staff!B$8:H$245,7,0)</f>
        <v>20780</v>
      </c>
      <c r="H296" s="26" t="n">
        <f aca="false">VLOOKUP(B296,[9]Staff!B$7:P$245,15,0)</f>
        <v>20780</v>
      </c>
      <c r="I296" s="20" t="s">
        <v>699</v>
      </c>
      <c r="J296" s="42" t="s">
        <v>568</v>
      </c>
      <c r="K296" s="26" t="s">
        <v>10</v>
      </c>
      <c r="L296" s="24" t="n">
        <f aca="false">IF(H296&gt;23335,0,(H296*90%*4.75%))</f>
        <v>888.345</v>
      </c>
      <c r="M296" s="24" t="n">
        <f aca="false">IF(H296*60%*12%&gt;1800,1974,(H296*60%*13.16%))</f>
        <v>1640.7888</v>
      </c>
      <c r="N296" s="25" t="n">
        <f aca="false">H296+L296+M296</f>
        <v>23309.1338</v>
      </c>
    </row>
    <row r="297" customFormat="false" ht="15.75" hidden="false" customHeight="false" outlineLevel="0" collapsed="false">
      <c r="A297" s="19" t="n">
        <v>296</v>
      </c>
      <c r="B297" s="20" t="n">
        <v>4950</v>
      </c>
      <c r="C297" s="20" t="s">
        <v>717</v>
      </c>
      <c r="D297" s="26" t="s">
        <v>135</v>
      </c>
      <c r="E297" s="20" t="s">
        <v>718</v>
      </c>
      <c r="F297" s="20" t="s">
        <v>338</v>
      </c>
      <c r="G297" s="20" t="n">
        <f aca="false">VLOOKUP(B297,[9]Staff!B$8:H$245,7,0)</f>
        <v>9500</v>
      </c>
      <c r="H297" s="45" t="n">
        <f aca="false">VLOOKUP(B297,[9]Staff!B$7:P$245,15,0)</f>
        <v>9183.33</v>
      </c>
      <c r="I297" s="20" t="str">
        <f aca="false">VLOOKUP(B297,'[2]sales support'!$B$2:$G$72,6,0)</f>
        <v>Institutional Sales</v>
      </c>
      <c r="J297" s="42" t="s">
        <v>719</v>
      </c>
      <c r="K297" s="26" t="s">
        <v>10</v>
      </c>
      <c r="L297" s="24" t="n">
        <f aca="false">IF(H297&gt;23335,0,(H297*90%*4.75%))</f>
        <v>392.5873575</v>
      </c>
      <c r="M297" s="24" t="n">
        <f aca="false">IF(H297*60%*12%&gt;1800,1974,(H297*60%*13.16%))</f>
        <v>725.1157368</v>
      </c>
      <c r="N297" s="25" t="n">
        <f aca="false">H297+L297+M297</f>
        <v>10301.0330943</v>
      </c>
    </row>
    <row r="298" customFormat="false" ht="15.75" hidden="false" customHeight="false" outlineLevel="0" collapsed="false">
      <c r="A298" s="18" t="n">
        <v>297</v>
      </c>
      <c r="B298" s="25" t="n">
        <v>3343</v>
      </c>
      <c r="C298" s="20" t="s">
        <v>720</v>
      </c>
      <c r="D298" s="30" t="s">
        <v>697</v>
      </c>
      <c r="E298" s="30" t="s">
        <v>721</v>
      </c>
      <c r="F298" s="30" t="s">
        <v>87</v>
      </c>
      <c r="G298" s="20" t="n">
        <f aca="false">VLOOKUP(B298,[9]Staff!B$8:H$245,7,0)</f>
        <v>24190</v>
      </c>
      <c r="H298" s="26" t="n">
        <f aca="false">VLOOKUP(B298,[9]Staff!B$7:P$245,15,0)</f>
        <v>24190</v>
      </c>
      <c r="I298" s="20" t="str">
        <f aca="false">VLOOKUP(B298,'[2]sales support'!$B$2:$G$72,6,0)</f>
        <v>Accounts</v>
      </c>
      <c r="J298" s="42" t="s">
        <v>13</v>
      </c>
      <c r="K298" s="26" t="s">
        <v>10</v>
      </c>
      <c r="L298" s="24" t="n">
        <f aca="false">IF(H298&gt;23335,0,(H298*90%*4.75%))</f>
        <v>0</v>
      </c>
      <c r="M298" s="24" t="n">
        <f aca="false">IF(H298*60%*12%&gt;1800,1974,(H298*60%*13.16%))</f>
        <v>1910.0424</v>
      </c>
      <c r="N298" s="25" t="n">
        <f aca="false">H298+L298+M298</f>
        <v>26100.0424</v>
      </c>
    </row>
    <row r="299" customFormat="false" ht="15.75" hidden="false" customHeight="false" outlineLevel="0" collapsed="false">
      <c r="A299" s="19" t="n">
        <v>298</v>
      </c>
      <c r="B299" s="25" t="n">
        <v>3823</v>
      </c>
      <c r="C299" s="20" t="s">
        <v>722</v>
      </c>
      <c r="D299" s="46" t="s">
        <v>723</v>
      </c>
      <c r="E299" s="30" t="s">
        <v>724</v>
      </c>
      <c r="F299" s="30" t="s">
        <v>299</v>
      </c>
      <c r="G299" s="30" t="n">
        <v>24310</v>
      </c>
      <c r="H299" s="47" t="s">
        <v>725</v>
      </c>
      <c r="I299" s="20" t="str">
        <f aca="false">VLOOKUP(B299,'[2]sales support'!$B$2:$G$72,6,0)</f>
        <v>Bread &amp; cakes</v>
      </c>
      <c r="J299" s="42"/>
      <c r="K299" s="26" t="s">
        <v>9</v>
      </c>
      <c r="L299" s="24" t="n">
        <f aca="false">IF(H299&gt;21000,0,(H299*4.75%))</f>
        <v>0</v>
      </c>
      <c r="M299" s="24" t="n">
        <f aca="false">IF(H299*70%*12%&gt;1800,1974,(H299*70%*13.16%))</f>
        <v>1974</v>
      </c>
      <c r="N299" s="25" t="n">
        <f aca="false">H299+L299+M299</f>
        <v>26284</v>
      </c>
    </row>
    <row r="300" customFormat="false" ht="17.25" hidden="false" customHeight="false" outlineLevel="0" collapsed="false">
      <c r="B300" s="9" t="n">
        <v>1</v>
      </c>
      <c r="C300" s="9" t="s">
        <v>726</v>
      </c>
      <c r="D300" s="9" t="s">
        <v>727</v>
      </c>
      <c r="E300" s="9" t="s">
        <v>728</v>
      </c>
      <c r="F300" s="10" t="s">
        <v>729</v>
      </c>
      <c r="G300" s="10" t="n">
        <v>250000</v>
      </c>
      <c r="H300" s="10" t="n">
        <v>250000</v>
      </c>
      <c r="I300" s="11" t="s">
        <v>730</v>
      </c>
      <c r="J300" s="9" t="s">
        <v>730</v>
      </c>
      <c r="K300" s="9" t="s">
        <v>10</v>
      </c>
      <c r="L300" s="9" t="s">
        <v>13</v>
      </c>
      <c r="M300" s="9" t="n">
        <v>0</v>
      </c>
      <c r="N300" s="9" t="n">
        <v>1974</v>
      </c>
      <c r="O300" s="9" t="n">
        <v>251974</v>
      </c>
    </row>
    <row r="301" customFormat="false" ht="17.25" hidden="false" customHeight="false" outlineLevel="0" collapsed="false">
      <c r="B301" s="9" t="n">
        <v>3</v>
      </c>
      <c r="C301" s="9" t="s">
        <v>731</v>
      </c>
      <c r="D301" s="9" t="s">
        <v>732</v>
      </c>
      <c r="E301" s="9" t="s">
        <v>733</v>
      </c>
      <c r="F301" s="10" t="s">
        <v>64</v>
      </c>
      <c r="G301" s="10" t="n">
        <v>45610</v>
      </c>
      <c r="H301" s="10" t="n">
        <v>45610</v>
      </c>
      <c r="I301" s="11" t="s">
        <v>699</v>
      </c>
      <c r="J301" s="9" t="s">
        <v>734</v>
      </c>
      <c r="K301" s="9" t="s">
        <v>10</v>
      </c>
      <c r="L301" s="9" t="s">
        <v>735</v>
      </c>
      <c r="M301" s="9" t="n">
        <v>0</v>
      </c>
      <c r="N301" s="9" t="n">
        <v>1974</v>
      </c>
      <c r="O301" s="9" t="n">
        <v>47584</v>
      </c>
    </row>
    <row r="302" customFormat="false" ht="17.25" hidden="false" customHeight="false" outlineLevel="0" collapsed="false">
      <c r="B302" s="9" t="n">
        <v>4</v>
      </c>
      <c r="C302" s="9" t="s">
        <v>736</v>
      </c>
      <c r="D302" s="9" t="s">
        <v>574</v>
      </c>
      <c r="E302" s="9" t="s">
        <v>737</v>
      </c>
      <c r="F302" s="10" t="s">
        <v>64</v>
      </c>
      <c r="G302" s="10" t="n">
        <v>44630</v>
      </c>
      <c r="H302" s="10" t="n">
        <v>44630</v>
      </c>
      <c r="I302" s="11" t="s">
        <v>738</v>
      </c>
      <c r="J302" s="9" t="s">
        <v>739</v>
      </c>
      <c r="K302" s="9" t="s">
        <v>10</v>
      </c>
      <c r="L302" s="9" t="s">
        <v>735</v>
      </c>
      <c r="M302" s="9" t="n">
        <v>0</v>
      </c>
      <c r="N302" s="9" t="n">
        <v>1974</v>
      </c>
      <c r="O302" s="9" t="n">
        <v>46604</v>
      </c>
    </row>
    <row r="303" customFormat="false" ht="17.25" hidden="false" customHeight="false" outlineLevel="0" collapsed="false">
      <c r="B303" s="9" t="n">
        <v>6</v>
      </c>
      <c r="C303" s="9" t="s">
        <v>740</v>
      </c>
      <c r="D303" s="9" t="s">
        <v>574</v>
      </c>
      <c r="E303" s="9" t="s">
        <v>741</v>
      </c>
      <c r="F303" s="10" t="s">
        <v>64</v>
      </c>
      <c r="G303" s="10" t="n">
        <v>39170</v>
      </c>
      <c r="H303" s="10" t="n">
        <v>39170</v>
      </c>
      <c r="I303" s="11" t="s">
        <v>742</v>
      </c>
      <c r="J303" s="9" t="s">
        <v>743</v>
      </c>
      <c r="K303" s="9" t="s">
        <v>10</v>
      </c>
      <c r="L303" s="9" t="s">
        <v>13</v>
      </c>
      <c r="M303" s="9" t="n">
        <v>0</v>
      </c>
      <c r="N303" s="9" t="n">
        <v>1974</v>
      </c>
      <c r="O303" s="9" t="n">
        <v>41144</v>
      </c>
    </row>
    <row r="304" customFormat="false" ht="17.25" hidden="false" customHeight="false" outlineLevel="0" collapsed="false">
      <c r="B304" s="9" t="n">
        <v>8</v>
      </c>
      <c r="C304" s="9" t="s">
        <v>744</v>
      </c>
      <c r="D304" s="9" t="s">
        <v>745</v>
      </c>
      <c r="E304" s="9" t="s">
        <v>746</v>
      </c>
      <c r="F304" s="10" t="s">
        <v>58</v>
      </c>
      <c r="G304" s="10" t="n">
        <v>32470</v>
      </c>
      <c r="H304" s="10" t="n">
        <v>32470</v>
      </c>
      <c r="I304" s="11" t="s">
        <v>699</v>
      </c>
      <c r="J304" s="9" t="s">
        <v>734</v>
      </c>
      <c r="K304" s="9" t="s">
        <v>10</v>
      </c>
      <c r="L304" s="9" t="s">
        <v>10</v>
      </c>
      <c r="M304" s="9" t="n">
        <v>0</v>
      </c>
      <c r="N304" s="9" t="n">
        <v>1974</v>
      </c>
      <c r="O304" s="9" t="n">
        <v>34444</v>
      </c>
    </row>
    <row r="305" customFormat="false" ht="17.25" hidden="false" customHeight="false" outlineLevel="0" collapsed="false">
      <c r="B305" s="9" t="n">
        <v>10</v>
      </c>
      <c r="C305" s="9" t="s">
        <v>747</v>
      </c>
      <c r="D305" s="9" t="s">
        <v>748</v>
      </c>
      <c r="E305" s="9" t="s">
        <v>749</v>
      </c>
      <c r="F305" s="10" t="s">
        <v>750</v>
      </c>
      <c r="G305" s="10" t="n">
        <v>107660</v>
      </c>
      <c r="H305" s="10" t="n">
        <v>107660</v>
      </c>
      <c r="I305" s="11" t="s">
        <v>751</v>
      </c>
      <c r="J305" s="9" t="s">
        <v>752</v>
      </c>
      <c r="K305" s="9" t="s">
        <v>10</v>
      </c>
      <c r="L305" s="9" t="s">
        <v>10</v>
      </c>
      <c r="M305" s="9" t="n">
        <v>0</v>
      </c>
      <c r="N305" s="9" t="n">
        <v>1974</v>
      </c>
      <c r="O305" s="9" t="n">
        <v>109634</v>
      </c>
    </row>
    <row r="306" customFormat="false" ht="17.25" hidden="false" customHeight="false" outlineLevel="0" collapsed="false">
      <c r="B306" s="9" t="n">
        <v>11</v>
      </c>
      <c r="C306" s="9" t="s">
        <v>753</v>
      </c>
      <c r="D306" s="9" t="s">
        <v>754</v>
      </c>
      <c r="E306" s="9" t="s">
        <v>755</v>
      </c>
      <c r="F306" s="10" t="s">
        <v>58</v>
      </c>
      <c r="G306" s="10" t="n">
        <v>32710</v>
      </c>
      <c r="H306" s="10" t="n">
        <v>32710</v>
      </c>
      <c r="I306" s="11" t="s">
        <v>751</v>
      </c>
      <c r="J306" s="9" t="s">
        <v>752</v>
      </c>
      <c r="K306" s="9" t="s">
        <v>10</v>
      </c>
      <c r="L306" s="9" t="s">
        <v>10</v>
      </c>
      <c r="M306" s="9" t="n">
        <v>0</v>
      </c>
      <c r="N306" s="9" t="n">
        <v>1974</v>
      </c>
      <c r="O306" s="9" t="n">
        <v>34684</v>
      </c>
    </row>
    <row r="307" customFormat="false" ht="17.25" hidden="false" customHeight="false" outlineLevel="0" collapsed="false">
      <c r="B307" s="9" t="n">
        <v>13</v>
      </c>
      <c r="C307" s="9" t="s">
        <v>756</v>
      </c>
      <c r="D307" s="9" t="s">
        <v>757</v>
      </c>
      <c r="E307" s="9" t="s">
        <v>758</v>
      </c>
      <c r="F307" s="10" t="s">
        <v>58</v>
      </c>
      <c r="G307" s="10" t="n">
        <v>35550</v>
      </c>
      <c r="H307" s="10" t="n">
        <v>35550</v>
      </c>
      <c r="I307" s="11" t="s">
        <v>759</v>
      </c>
      <c r="J307" s="9" t="s">
        <v>760</v>
      </c>
      <c r="K307" s="9" t="s">
        <v>10</v>
      </c>
      <c r="L307" s="9" t="s">
        <v>10</v>
      </c>
      <c r="M307" s="9" t="n">
        <v>0</v>
      </c>
      <c r="N307" s="9" t="n">
        <v>1974</v>
      </c>
      <c r="O307" s="9" t="n">
        <v>37524</v>
      </c>
    </row>
    <row r="308" customFormat="false" ht="17.25" hidden="false" customHeight="false" outlineLevel="0" collapsed="false">
      <c r="B308" s="9" t="n">
        <v>15</v>
      </c>
      <c r="C308" s="9" t="s">
        <v>761</v>
      </c>
      <c r="D308" s="9" t="s">
        <v>619</v>
      </c>
      <c r="E308" s="9" t="s">
        <v>758</v>
      </c>
      <c r="F308" s="10" t="s">
        <v>299</v>
      </c>
      <c r="G308" s="10" t="n">
        <v>21270</v>
      </c>
      <c r="H308" s="10" t="n">
        <v>21270</v>
      </c>
      <c r="I308" s="11" t="s">
        <v>762</v>
      </c>
      <c r="J308" s="9" t="s">
        <v>688</v>
      </c>
      <c r="K308" s="9" t="s">
        <v>10</v>
      </c>
      <c r="L308" s="9" t="s">
        <v>10</v>
      </c>
      <c r="M308" s="9" t="n">
        <v>909.2925</v>
      </c>
      <c r="N308" s="9" t="n">
        <v>1679.4792</v>
      </c>
      <c r="O308" s="9" t="n">
        <v>23858.7717</v>
      </c>
    </row>
    <row r="309" customFormat="false" ht="17.25" hidden="false" customHeight="false" outlineLevel="0" collapsed="false">
      <c r="B309" s="9" t="n">
        <v>16</v>
      </c>
      <c r="C309" s="9" t="s">
        <v>763</v>
      </c>
      <c r="D309" s="9" t="s">
        <v>764</v>
      </c>
      <c r="E309" s="9" t="s">
        <v>758</v>
      </c>
      <c r="F309" s="10" t="s">
        <v>61</v>
      </c>
      <c r="G309" s="10" t="n">
        <v>69540</v>
      </c>
      <c r="H309" s="10" t="n">
        <v>69540</v>
      </c>
      <c r="I309" s="11" t="s">
        <v>751</v>
      </c>
      <c r="J309" s="9" t="s">
        <v>752</v>
      </c>
      <c r="K309" s="9" t="s">
        <v>10</v>
      </c>
      <c r="L309" s="9" t="s">
        <v>10</v>
      </c>
      <c r="M309" s="9" t="n">
        <v>0</v>
      </c>
      <c r="N309" s="9" t="n">
        <v>1974</v>
      </c>
      <c r="O309" s="9" t="n">
        <v>71514</v>
      </c>
    </row>
    <row r="310" customFormat="false" ht="17.25" hidden="false" customHeight="false" outlineLevel="0" collapsed="false">
      <c r="B310" s="9" t="n">
        <v>17</v>
      </c>
      <c r="C310" s="9" t="s">
        <v>765</v>
      </c>
      <c r="D310" s="9" t="s">
        <v>766</v>
      </c>
      <c r="E310" s="9" t="s">
        <v>767</v>
      </c>
      <c r="F310" s="10" t="s">
        <v>61</v>
      </c>
      <c r="G310" s="10" t="n">
        <v>53900</v>
      </c>
      <c r="H310" s="10" t="n">
        <v>53900</v>
      </c>
      <c r="I310" s="11" t="s">
        <v>699</v>
      </c>
      <c r="J310" s="9" t="s">
        <v>734</v>
      </c>
      <c r="K310" s="9" t="s">
        <v>10</v>
      </c>
      <c r="L310" s="9" t="s">
        <v>10</v>
      </c>
      <c r="M310" s="9" t="n">
        <v>0</v>
      </c>
      <c r="N310" s="9" t="n">
        <v>1974</v>
      </c>
      <c r="O310" s="9" t="n">
        <v>55874</v>
      </c>
    </row>
    <row r="311" customFormat="false" ht="17.25" hidden="false" customHeight="false" outlineLevel="0" collapsed="false">
      <c r="B311" s="9" t="n">
        <v>18</v>
      </c>
      <c r="C311" s="9" t="s">
        <v>768</v>
      </c>
      <c r="D311" s="9" t="s">
        <v>745</v>
      </c>
      <c r="E311" s="9" t="s">
        <v>769</v>
      </c>
      <c r="F311" s="10" t="s">
        <v>87</v>
      </c>
      <c r="G311" s="10" t="n">
        <v>28440</v>
      </c>
      <c r="H311" s="10" t="n">
        <v>28440</v>
      </c>
      <c r="I311" s="11" t="s">
        <v>699</v>
      </c>
      <c r="J311" s="9" t="s">
        <v>734</v>
      </c>
      <c r="K311" s="9" t="s">
        <v>10</v>
      </c>
      <c r="L311" s="9" t="s">
        <v>10</v>
      </c>
      <c r="M311" s="9" t="n">
        <v>0</v>
      </c>
      <c r="N311" s="9" t="n">
        <v>1974</v>
      </c>
      <c r="O311" s="9" t="n">
        <v>30414</v>
      </c>
    </row>
    <row r="312" customFormat="false" ht="17.25" hidden="false" customHeight="false" outlineLevel="0" collapsed="false">
      <c r="B312" s="9" t="n">
        <v>19</v>
      </c>
      <c r="C312" s="9" t="s">
        <v>770</v>
      </c>
      <c r="D312" s="9" t="s">
        <v>771</v>
      </c>
      <c r="E312" s="9" t="s">
        <v>772</v>
      </c>
      <c r="F312" s="10" t="s">
        <v>64</v>
      </c>
      <c r="G312" s="10" t="n">
        <v>44670</v>
      </c>
      <c r="H312" s="10" t="n">
        <v>44670</v>
      </c>
      <c r="I312" s="11" t="s">
        <v>773</v>
      </c>
      <c r="J312" s="9" t="s">
        <v>774</v>
      </c>
      <c r="K312" s="9" t="s">
        <v>10</v>
      </c>
      <c r="L312" s="9" t="s">
        <v>10</v>
      </c>
      <c r="M312" s="9" t="n">
        <v>0</v>
      </c>
      <c r="N312" s="9" t="n">
        <v>1974</v>
      </c>
      <c r="O312" s="9" t="n">
        <v>46644</v>
      </c>
    </row>
    <row r="313" customFormat="false" ht="17.25" hidden="false" customHeight="false" outlineLevel="0" collapsed="false">
      <c r="B313" s="9" t="n">
        <v>20</v>
      </c>
      <c r="C313" s="9" t="s">
        <v>775</v>
      </c>
      <c r="D313" s="9" t="s">
        <v>766</v>
      </c>
      <c r="E313" s="9" t="s">
        <v>776</v>
      </c>
      <c r="F313" s="10" t="s">
        <v>61</v>
      </c>
      <c r="G313" s="10" t="n">
        <v>56840</v>
      </c>
      <c r="H313" s="10" t="n">
        <v>56840</v>
      </c>
      <c r="I313" s="11" t="s">
        <v>777</v>
      </c>
      <c r="J313" s="9" t="s">
        <v>774</v>
      </c>
      <c r="K313" s="9" t="s">
        <v>10</v>
      </c>
      <c r="L313" s="9" t="s">
        <v>778</v>
      </c>
      <c r="M313" s="9" t="n">
        <v>0</v>
      </c>
      <c r="N313" s="9" t="n">
        <v>1974</v>
      </c>
      <c r="O313" s="9" t="n">
        <v>58814</v>
      </c>
    </row>
    <row r="314" customFormat="false" ht="17.25" hidden="false" customHeight="false" outlineLevel="0" collapsed="false">
      <c r="B314" s="9" t="n">
        <v>40</v>
      </c>
      <c r="C314" s="9" t="s">
        <v>779</v>
      </c>
      <c r="D314" s="9" t="s">
        <v>780</v>
      </c>
      <c r="E314" s="9" t="s">
        <v>781</v>
      </c>
      <c r="F314" s="10" t="s">
        <v>299</v>
      </c>
      <c r="G314" s="10" t="n">
        <v>18300</v>
      </c>
      <c r="H314" s="10" t="n">
        <v>18300</v>
      </c>
      <c r="I314" s="11" t="s">
        <v>738</v>
      </c>
      <c r="J314" s="9" t="s">
        <v>739</v>
      </c>
      <c r="K314" s="9" t="s">
        <v>10</v>
      </c>
      <c r="L314" s="9" t="s">
        <v>10</v>
      </c>
      <c r="M314" s="9" t="n">
        <v>782.325</v>
      </c>
      <c r="N314" s="9" t="n">
        <v>1444.968</v>
      </c>
      <c r="O314" s="9" t="n">
        <v>20527.293</v>
      </c>
    </row>
    <row r="315" customFormat="false" ht="17.25" hidden="false" customHeight="false" outlineLevel="0" collapsed="false">
      <c r="B315" s="9" t="n">
        <v>54</v>
      </c>
      <c r="C315" s="9" t="s">
        <v>782</v>
      </c>
      <c r="D315" s="9" t="s">
        <v>745</v>
      </c>
      <c r="E315" s="9" t="s">
        <v>783</v>
      </c>
      <c r="F315" s="10" t="s">
        <v>87</v>
      </c>
      <c r="G315" s="10" t="n">
        <v>24350</v>
      </c>
      <c r="H315" s="10" t="n">
        <v>24350</v>
      </c>
      <c r="I315" s="11" t="s">
        <v>699</v>
      </c>
      <c r="J315" s="9" t="s">
        <v>734</v>
      </c>
      <c r="K315" s="9" t="s">
        <v>10</v>
      </c>
      <c r="L315" s="9" t="s">
        <v>5</v>
      </c>
      <c r="M315" s="9" t="n">
        <v>0</v>
      </c>
      <c r="N315" s="9" t="n">
        <v>1922.676</v>
      </c>
      <c r="O315" s="9" t="n">
        <v>26272.676</v>
      </c>
    </row>
    <row r="316" customFormat="false" ht="17.25" hidden="false" customHeight="false" outlineLevel="0" collapsed="false">
      <c r="B316" s="9" t="n">
        <v>55</v>
      </c>
      <c r="C316" s="9" t="s">
        <v>784</v>
      </c>
      <c r="D316" s="9" t="s">
        <v>785</v>
      </c>
      <c r="E316" s="9" t="s">
        <v>83</v>
      </c>
      <c r="F316" s="10" t="s">
        <v>87</v>
      </c>
      <c r="G316" s="10" t="n">
        <v>26850</v>
      </c>
      <c r="H316" s="10" t="n">
        <v>26850</v>
      </c>
      <c r="I316" s="11" t="s">
        <v>738</v>
      </c>
      <c r="J316" s="9" t="s">
        <v>739</v>
      </c>
      <c r="K316" s="9" t="s">
        <v>10</v>
      </c>
      <c r="L316" s="9" t="s">
        <v>13</v>
      </c>
      <c r="M316" s="9" t="n">
        <v>0</v>
      </c>
      <c r="N316" s="9" t="n">
        <v>1974</v>
      </c>
      <c r="O316" s="9" t="n">
        <v>28824</v>
      </c>
    </row>
    <row r="317" customFormat="false" ht="17.25" hidden="false" customHeight="false" outlineLevel="0" collapsed="false">
      <c r="B317" s="9" t="n">
        <v>57</v>
      </c>
      <c r="C317" s="9" t="s">
        <v>786</v>
      </c>
      <c r="D317" s="9" t="s">
        <v>787</v>
      </c>
      <c r="E317" s="9" t="s">
        <v>788</v>
      </c>
      <c r="F317" s="10" t="s">
        <v>299</v>
      </c>
      <c r="G317" s="10" t="n">
        <v>20020</v>
      </c>
      <c r="H317" s="10" t="n">
        <v>20020</v>
      </c>
      <c r="I317" s="11" t="s">
        <v>738</v>
      </c>
      <c r="J317" s="9" t="s">
        <v>739</v>
      </c>
      <c r="K317" s="9" t="s">
        <v>10</v>
      </c>
      <c r="L317" s="9" t="s">
        <v>10</v>
      </c>
      <c r="M317" s="9" t="n">
        <v>855.855</v>
      </c>
      <c r="N317" s="9" t="n">
        <v>1580.7792</v>
      </c>
      <c r="O317" s="9" t="n">
        <v>22456.6342</v>
      </c>
    </row>
    <row r="318" customFormat="false" ht="17.25" hidden="false" customHeight="false" outlineLevel="0" collapsed="false">
      <c r="B318" s="9" t="n">
        <v>61</v>
      </c>
      <c r="C318" s="9" t="s">
        <v>789</v>
      </c>
      <c r="D318" s="9" t="s">
        <v>745</v>
      </c>
      <c r="E318" s="9" t="s">
        <v>790</v>
      </c>
      <c r="F318" s="10" t="s">
        <v>87</v>
      </c>
      <c r="G318" s="10" t="n">
        <v>24520</v>
      </c>
      <c r="H318" s="10" t="n">
        <v>24520</v>
      </c>
      <c r="I318" s="11" t="s">
        <v>699</v>
      </c>
      <c r="J318" s="9" t="s">
        <v>734</v>
      </c>
      <c r="K318" s="9" t="s">
        <v>10</v>
      </c>
      <c r="L318" s="9" t="s">
        <v>10</v>
      </c>
      <c r="M318" s="9" t="n">
        <v>0</v>
      </c>
      <c r="N318" s="9" t="n">
        <v>1936.0992</v>
      </c>
      <c r="O318" s="9" t="n">
        <v>26456.0992</v>
      </c>
    </row>
    <row r="319" customFormat="false" ht="17.25" hidden="false" customHeight="false" outlineLevel="0" collapsed="false">
      <c r="B319" s="9" t="n">
        <v>63</v>
      </c>
      <c r="C319" s="9" t="s">
        <v>791</v>
      </c>
      <c r="D319" s="9" t="s">
        <v>574</v>
      </c>
      <c r="E319" s="9" t="s">
        <v>792</v>
      </c>
      <c r="F319" s="10" t="s">
        <v>58</v>
      </c>
      <c r="G319" s="10" t="n">
        <v>35130</v>
      </c>
      <c r="H319" s="10" t="n">
        <v>35130</v>
      </c>
      <c r="I319" s="11" t="s">
        <v>699</v>
      </c>
      <c r="J319" s="9" t="s">
        <v>734</v>
      </c>
      <c r="K319" s="9" t="s">
        <v>10</v>
      </c>
      <c r="L319" s="9" t="s">
        <v>13</v>
      </c>
      <c r="M319" s="9" t="n">
        <v>0</v>
      </c>
      <c r="N319" s="9" t="n">
        <v>1974</v>
      </c>
      <c r="O319" s="9" t="n">
        <v>37104</v>
      </c>
    </row>
    <row r="320" customFormat="false" ht="17.25" hidden="false" customHeight="false" outlineLevel="0" collapsed="false">
      <c r="B320" s="9" t="n">
        <v>64</v>
      </c>
      <c r="C320" s="9" t="s">
        <v>793</v>
      </c>
      <c r="D320" s="9" t="s">
        <v>619</v>
      </c>
      <c r="E320" s="9" t="s">
        <v>794</v>
      </c>
      <c r="F320" s="10" t="s">
        <v>299</v>
      </c>
      <c r="G320" s="10" t="n">
        <v>19640</v>
      </c>
      <c r="H320" s="10" t="n">
        <v>19640</v>
      </c>
      <c r="I320" s="11" t="s">
        <v>795</v>
      </c>
      <c r="J320" s="9" t="s">
        <v>734</v>
      </c>
      <c r="K320" s="9" t="s">
        <v>10</v>
      </c>
      <c r="L320" s="9" t="s">
        <v>13</v>
      </c>
      <c r="M320" s="9" t="n">
        <v>839.61</v>
      </c>
      <c r="N320" s="9" t="n">
        <v>1550.7744</v>
      </c>
      <c r="O320" s="9" t="n">
        <v>22030.3844</v>
      </c>
    </row>
    <row r="321" customFormat="false" ht="17.25" hidden="false" customHeight="false" outlineLevel="0" collapsed="false">
      <c r="B321" s="9" t="n">
        <v>72</v>
      </c>
      <c r="C321" s="9" t="s">
        <v>796</v>
      </c>
      <c r="D321" s="9" t="s">
        <v>797</v>
      </c>
      <c r="E321" s="9" t="s">
        <v>798</v>
      </c>
      <c r="F321" s="10" t="s">
        <v>299</v>
      </c>
      <c r="G321" s="10" t="n">
        <v>22500</v>
      </c>
      <c r="H321" s="10" t="n">
        <v>22500</v>
      </c>
      <c r="I321" s="11" t="s">
        <v>799</v>
      </c>
      <c r="J321" s="9" t="s">
        <v>739</v>
      </c>
      <c r="K321" s="9" t="s">
        <v>10</v>
      </c>
      <c r="L321" s="9" t="s">
        <v>735</v>
      </c>
      <c r="M321" s="9" t="n">
        <v>961.875</v>
      </c>
      <c r="N321" s="9" t="n">
        <v>1776.6</v>
      </c>
      <c r="O321" s="9" t="n">
        <v>25238.475</v>
      </c>
    </row>
    <row r="322" customFormat="false" ht="17.25" hidden="false" customHeight="false" outlineLevel="0" collapsed="false">
      <c r="B322" s="9" t="n">
        <v>81</v>
      </c>
      <c r="C322" s="9" t="s">
        <v>800</v>
      </c>
      <c r="D322" s="9" t="s">
        <v>780</v>
      </c>
      <c r="E322" s="9" t="s">
        <v>801</v>
      </c>
      <c r="F322" s="10" t="s">
        <v>299</v>
      </c>
      <c r="G322" s="10" t="n">
        <v>20250</v>
      </c>
      <c r="H322" s="10" t="n">
        <v>20250</v>
      </c>
      <c r="I322" s="11" t="s">
        <v>699</v>
      </c>
      <c r="J322" s="9" t="s">
        <v>734</v>
      </c>
      <c r="K322" s="9" t="s">
        <v>10</v>
      </c>
      <c r="L322" s="9" t="s">
        <v>10</v>
      </c>
      <c r="M322" s="9" t="n">
        <v>865.6875</v>
      </c>
      <c r="N322" s="9" t="n">
        <v>1598.94</v>
      </c>
      <c r="O322" s="9" t="n">
        <v>22714.6275</v>
      </c>
    </row>
    <row r="323" customFormat="false" ht="17.25" hidden="false" customHeight="false" outlineLevel="0" collapsed="false">
      <c r="B323" s="9" t="n">
        <v>196</v>
      </c>
      <c r="C323" s="9" t="s">
        <v>802</v>
      </c>
      <c r="D323" s="9" t="s">
        <v>745</v>
      </c>
      <c r="E323" s="9" t="s">
        <v>803</v>
      </c>
      <c r="F323" s="10" t="s">
        <v>87</v>
      </c>
      <c r="G323" s="10" t="n">
        <v>24100</v>
      </c>
      <c r="H323" s="10" t="n">
        <v>24100</v>
      </c>
      <c r="I323" s="11" t="s">
        <v>804</v>
      </c>
      <c r="J323" s="9" t="s">
        <v>743</v>
      </c>
      <c r="K323" s="9" t="s">
        <v>10</v>
      </c>
      <c r="L323" s="9" t="s">
        <v>10</v>
      </c>
      <c r="M323" s="9" t="n">
        <v>0</v>
      </c>
      <c r="N323" s="9" t="n">
        <v>1902.936</v>
      </c>
      <c r="O323" s="9" t="n">
        <v>26002.936</v>
      </c>
    </row>
    <row r="324" customFormat="false" ht="17.25" hidden="false" customHeight="false" outlineLevel="0" collapsed="false">
      <c r="B324" s="9" t="n">
        <v>213</v>
      </c>
      <c r="C324" s="9" t="s">
        <v>805</v>
      </c>
      <c r="D324" s="9" t="s">
        <v>584</v>
      </c>
      <c r="E324" s="9" t="s">
        <v>806</v>
      </c>
      <c r="F324" s="10" t="s">
        <v>109</v>
      </c>
      <c r="G324" s="10" t="n">
        <v>16490</v>
      </c>
      <c r="H324" s="10" t="n">
        <v>16490</v>
      </c>
      <c r="I324" s="11" t="s">
        <v>762</v>
      </c>
      <c r="J324" s="9" t="s">
        <v>688</v>
      </c>
      <c r="K324" s="9" t="s">
        <v>10</v>
      </c>
      <c r="L324" s="9" t="s">
        <v>3</v>
      </c>
      <c r="M324" s="9" t="n">
        <v>704.9475</v>
      </c>
      <c r="N324" s="9" t="n">
        <v>1302.0504</v>
      </c>
      <c r="O324" s="9" t="n">
        <v>18496.9979</v>
      </c>
    </row>
    <row r="325" customFormat="false" ht="17.25" hidden="false" customHeight="false" outlineLevel="0" collapsed="false">
      <c r="B325" s="9" t="n">
        <v>216</v>
      </c>
      <c r="C325" s="9" t="s">
        <v>807</v>
      </c>
      <c r="D325" s="9" t="s">
        <v>808</v>
      </c>
      <c r="E325" s="9" t="s">
        <v>809</v>
      </c>
      <c r="F325" s="10" t="s">
        <v>109</v>
      </c>
      <c r="G325" s="10" t="n">
        <v>17410</v>
      </c>
      <c r="H325" s="10" t="n">
        <v>17410</v>
      </c>
      <c r="I325" s="11" t="s">
        <v>699</v>
      </c>
      <c r="J325" s="9" t="s">
        <v>734</v>
      </c>
      <c r="K325" s="9" t="s">
        <v>10</v>
      </c>
      <c r="L325" s="9" t="s">
        <v>10</v>
      </c>
      <c r="M325" s="9" t="n">
        <v>744.2775</v>
      </c>
      <c r="N325" s="9" t="n">
        <v>1374.6936</v>
      </c>
      <c r="O325" s="9" t="n">
        <v>19528.9711</v>
      </c>
    </row>
    <row r="326" customFormat="false" ht="17.25" hidden="false" customHeight="false" outlineLevel="0" collapsed="false">
      <c r="B326" s="9" t="n">
        <v>235</v>
      </c>
      <c r="C326" s="9" t="s">
        <v>810</v>
      </c>
      <c r="D326" s="9" t="s">
        <v>811</v>
      </c>
      <c r="E326" s="9" t="s">
        <v>567</v>
      </c>
      <c r="F326" s="10" t="s">
        <v>58</v>
      </c>
      <c r="G326" s="10" t="n">
        <v>34440</v>
      </c>
      <c r="H326" s="10" t="n">
        <v>34440</v>
      </c>
      <c r="I326" s="11" t="s">
        <v>799</v>
      </c>
      <c r="J326" s="9" t="s">
        <v>739</v>
      </c>
      <c r="K326" s="9" t="s">
        <v>10</v>
      </c>
      <c r="L326" s="9" t="s">
        <v>7</v>
      </c>
      <c r="M326" s="9" t="n">
        <v>0</v>
      </c>
      <c r="N326" s="9" t="n">
        <v>1974</v>
      </c>
      <c r="O326" s="9" t="n">
        <v>36414</v>
      </c>
    </row>
    <row r="327" customFormat="false" ht="17.25" hidden="false" customHeight="false" outlineLevel="0" collapsed="false">
      <c r="B327" s="9" t="n">
        <v>257</v>
      </c>
      <c r="C327" s="9" t="s">
        <v>812</v>
      </c>
      <c r="D327" s="9" t="s">
        <v>813</v>
      </c>
      <c r="E327" s="9" t="s">
        <v>814</v>
      </c>
      <c r="F327" s="10" t="s">
        <v>750</v>
      </c>
      <c r="G327" s="10" t="n">
        <v>78130</v>
      </c>
      <c r="H327" s="10" t="n">
        <v>78130</v>
      </c>
      <c r="I327" s="11" t="s">
        <v>815</v>
      </c>
      <c r="J327" s="9" t="s">
        <v>760</v>
      </c>
      <c r="K327" s="9" t="s">
        <v>4</v>
      </c>
      <c r="L327" s="9" t="s">
        <v>4</v>
      </c>
      <c r="M327" s="9" t="n">
        <v>0</v>
      </c>
      <c r="N327" s="9" t="n">
        <v>1974</v>
      </c>
      <c r="O327" s="9" t="n">
        <v>80104</v>
      </c>
    </row>
    <row r="328" customFormat="false" ht="17.25" hidden="false" customHeight="false" outlineLevel="0" collapsed="false">
      <c r="B328" s="9" t="n">
        <v>258</v>
      </c>
      <c r="C328" s="9" t="s">
        <v>816</v>
      </c>
      <c r="D328" s="9" t="s">
        <v>817</v>
      </c>
      <c r="E328" s="9" t="s">
        <v>818</v>
      </c>
      <c r="F328" s="10" t="s">
        <v>146</v>
      </c>
      <c r="G328" s="10" t="n">
        <v>63740</v>
      </c>
      <c r="H328" s="10" t="n">
        <v>63740</v>
      </c>
      <c r="I328" s="11" t="s">
        <v>751</v>
      </c>
      <c r="J328" s="9" t="s">
        <v>752</v>
      </c>
      <c r="K328" s="9" t="s">
        <v>4</v>
      </c>
      <c r="L328" s="9" t="s">
        <v>4</v>
      </c>
      <c r="M328" s="9" t="n">
        <v>0</v>
      </c>
      <c r="N328" s="9" t="n">
        <v>1974</v>
      </c>
      <c r="O328" s="9" t="n">
        <v>65714</v>
      </c>
    </row>
    <row r="329" customFormat="false" ht="17.25" hidden="false" customHeight="false" outlineLevel="0" collapsed="false">
      <c r="B329" s="9" t="n">
        <v>262</v>
      </c>
      <c r="C329" s="9" t="s">
        <v>819</v>
      </c>
      <c r="D329" s="9" t="s">
        <v>820</v>
      </c>
      <c r="E329" s="9" t="s">
        <v>821</v>
      </c>
      <c r="F329" s="10" t="s">
        <v>61</v>
      </c>
      <c r="G329" s="10" t="n">
        <v>55000</v>
      </c>
      <c r="H329" s="10" t="n">
        <v>55000</v>
      </c>
      <c r="I329" s="11" t="s">
        <v>751</v>
      </c>
      <c r="J329" s="9" t="s">
        <v>752</v>
      </c>
      <c r="K329" s="9" t="s">
        <v>4</v>
      </c>
      <c r="L329" s="9" t="s">
        <v>5</v>
      </c>
      <c r="M329" s="9" t="n">
        <v>0</v>
      </c>
      <c r="N329" s="9" t="n">
        <v>1974</v>
      </c>
      <c r="O329" s="9" t="n">
        <v>56974</v>
      </c>
    </row>
    <row r="330" customFormat="false" ht="17.25" hidden="false" customHeight="false" outlineLevel="0" collapsed="false">
      <c r="B330" s="9" t="n">
        <v>263</v>
      </c>
      <c r="C330" s="9" t="s">
        <v>822</v>
      </c>
      <c r="D330" s="9" t="s">
        <v>745</v>
      </c>
      <c r="E330" s="9" t="s">
        <v>823</v>
      </c>
      <c r="F330" s="10" t="s">
        <v>58</v>
      </c>
      <c r="G330" s="10" t="n">
        <v>36620</v>
      </c>
      <c r="H330" s="10" t="n">
        <v>36620</v>
      </c>
      <c r="I330" s="11" t="s">
        <v>751</v>
      </c>
      <c r="J330" s="9" t="s">
        <v>752</v>
      </c>
      <c r="K330" s="9" t="s">
        <v>4</v>
      </c>
      <c r="L330" s="9" t="s">
        <v>4</v>
      </c>
      <c r="M330" s="9" t="n">
        <v>0</v>
      </c>
      <c r="N330" s="9" t="n">
        <v>1974</v>
      </c>
      <c r="O330" s="9" t="n">
        <v>38594</v>
      </c>
    </row>
    <row r="331" customFormat="false" ht="17.25" hidden="false" customHeight="false" outlineLevel="0" collapsed="false">
      <c r="B331" s="9" t="n">
        <v>264</v>
      </c>
      <c r="C331" s="9" t="s">
        <v>824</v>
      </c>
      <c r="D331" s="9" t="s">
        <v>745</v>
      </c>
      <c r="E331" s="9" t="s">
        <v>825</v>
      </c>
      <c r="F331" s="10" t="s">
        <v>58</v>
      </c>
      <c r="G331" s="10" t="n">
        <v>37730</v>
      </c>
      <c r="H331" s="10" t="n">
        <v>37730</v>
      </c>
      <c r="I331" s="11" t="s">
        <v>751</v>
      </c>
      <c r="J331" s="9" t="s">
        <v>752</v>
      </c>
      <c r="K331" s="9" t="s">
        <v>4</v>
      </c>
      <c r="L331" s="9" t="s">
        <v>4</v>
      </c>
      <c r="M331" s="9" t="n">
        <v>0</v>
      </c>
      <c r="N331" s="9" t="n">
        <v>1974</v>
      </c>
      <c r="O331" s="9" t="n">
        <v>39704</v>
      </c>
    </row>
    <row r="332" customFormat="false" ht="17.25" hidden="false" customHeight="false" outlineLevel="0" collapsed="false">
      <c r="B332" s="9" t="n">
        <v>265</v>
      </c>
      <c r="C332" s="9" t="s">
        <v>826</v>
      </c>
      <c r="D332" s="9" t="s">
        <v>574</v>
      </c>
      <c r="E332" s="9" t="s">
        <v>827</v>
      </c>
      <c r="F332" s="10" t="s">
        <v>64</v>
      </c>
      <c r="G332" s="10" t="n">
        <v>40510</v>
      </c>
      <c r="H332" s="10" t="n">
        <v>40510</v>
      </c>
      <c r="I332" s="11" t="s">
        <v>777</v>
      </c>
      <c r="J332" s="9" t="s">
        <v>774</v>
      </c>
      <c r="K332" s="9" t="s">
        <v>4</v>
      </c>
      <c r="L332" s="9" t="s">
        <v>4</v>
      </c>
      <c r="M332" s="9" t="n">
        <v>0</v>
      </c>
      <c r="N332" s="9" t="n">
        <v>1974</v>
      </c>
      <c r="O332" s="9" t="n">
        <v>42484</v>
      </c>
    </row>
    <row r="333" customFormat="false" ht="17.25" hidden="false" customHeight="false" outlineLevel="0" collapsed="false">
      <c r="B333" s="9" t="n">
        <v>266</v>
      </c>
      <c r="C333" s="9" t="s">
        <v>828</v>
      </c>
      <c r="D333" s="9" t="s">
        <v>771</v>
      </c>
      <c r="E333" s="9" t="s">
        <v>827</v>
      </c>
      <c r="F333" s="10" t="s">
        <v>64</v>
      </c>
      <c r="G333" s="10" t="n">
        <v>41290</v>
      </c>
      <c r="H333" s="10" t="n">
        <v>41290</v>
      </c>
      <c r="I333" s="11" t="s">
        <v>773</v>
      </c>
      <c r="J333" s="9" t="s">
        <v>774</v>
      </c>
      <c r="K333" s="9" t="s">
        <v>4</v>
      </c>
      <c r="L333" s="9" t="s">
        <v>4</v>
      </c>
      <c r="M333" s="9" t="n">
        <v>0</v>
      </c>
      <c r="N333" s="9" t="n">
        <v>1974</v>
      </c>
      <c r="O333" s="9" t="n">
        <v>43264</v>
      </c>
    </row>
    <row r="334" customFormat="false" ht="17.25" hidden="false" customHeight="false" outlineLevel="0" collapsed="false">
      <c r="B334" s="9" t="n">
        <v>271</v>
      </c>
      <c r="C334" s="9" t="s">
        <v>829</v>
      </c>
      <c r="D334" s="9" t="s">
        <v>830</v>
      </c>
      <c r="E334" s="9" t="s">
        <v>825</v>
      </c>
      <c r="F334" s="10" t="s">
        <v>58</v>
      </c>
      <c r="G334" s="10" t="n">
        <v>30610</v>
      </c>
      <c r="H334" s="10" t="n">
        <v>30610</v>
      </c>
      <c r="I334" s="11" t="s">
        <v>799</v>
      </c>
      <c r="J334" s="9" t="s">
        <v>739</v>
      </c>
      <c r="K334" s="9" t="s">
        <v>4</v>
      </c>
      <c r="L334" s="9" t="s">
        <v>4</v>
      </c>
      <c r="M334" s="9" t="n">
        <v>0</v>
      </c>
      <c r="N334" s="9" t="n">
        <v>1974</v>
      </c>
      <c r="O334" s="9" t="n">
        <v>32584</v>
      </c>
    </row>
    <row r="335" customFormat="false" ht="17.25" hidden="false" customHeight="false" outlineLevel="0" collapsed="false">
      <c r="B335" s="9" t="n">
        <v>274</v>
      </c>
      <c r="C335" s="9" t="s">
        <v>831</v>
      </c>
      <c r="D335" s="9" t="s">
        <v>732</v>
      </c>
      <c r="E335" s="9" t="s">
        <v>832</v>
      </c>
      <c r="F335" s="10" t="s">
        <v>64</v>
      </c>
      <c r="G335" s="10" t="n">
        <v>44970</v>
      </c>
      <c r="H335" s="10" t="n">
        <v>44970</v>
      </c>
      <c r="I335" s="11" t="s">
        <v>833</v>
      </c>
      <c r="J335" s="9" t="s">
        <v>834</v>
      </c>
      <c r="K335" s="9" t="s">
        <v>4</v>
      </c>
      <c r="L335" s="9" t="s">
        <v>13</v>
      </c>
      <c r="M335" s="9" t="n">
        <v>0</v>
      </c>
      <c r="N335" s="9" t="n">
        <v>1974</v>
      </c>
      <c r="O335" s="9" t="n">
        <v>46944</v>
      </c>
    </row>
    <row r="336" customFormat="false" ht="17.25" hidden="false" customHeight="false" outlineLevel="0" collapsed="false">
      <c r="B336" s="9" t="n">
        <v>276</v>
      </c>
      <c r="C336" s="9" t="s">
        <v>835</v>
      </c>
      <c r="D336" s="9" t="s">
        <v>797</v>
      </c>
      <c r="E336" s="9" t="s">
        <v>836</v>
      </c>
      <c r="F336" s="10" t="s">
        <v>299</v>
      </c>
      <c r="G336" s="10" t="n">
        <v>27440</v>
      </c>
      <c r="H336" s="10" t="n">
        <v>27440</v>
      </c>
      <c r="I336" s="11" t="s">
        <v>762</v>
      </c>
      <c r="J336" s="9" t="s">
        <v>688</v>
      </c>
      <c r="K336" s="9" t="s">
        <v>4</v>
      </c>
      <c r="L336" s="9" t="s">
        <v>4</v>
      </c>
      <c r="M336" s="9" t="n">
        <v>0</v>
      </c>
      <c r="N336" s="9" t="n">
        <v>1974</v>
      </c>
      <c r="O336" s="9" t="n">
        <v>29414</v>
      </c>
    </row>
    <row r="337" customFormat="false" ht="17.25" hidden="false" customHeight="false" outlineLevel="0" collapsed="false">
      <c r="B337" s="9" t="n">
        <v>280</v>
      </c>
      <c r="C337" s="9" t="s">
        <v>837</v>
      </c>
      <c r="D337" s="9" t="s">
        <v>771</v>
      </c>
      <c r="E337" s="9" t="s">
        <v>838</v>
      </c>
      <c r="F337" s="10" t="s">
        <v>64</v>
      </c>
      <c r="G337" s="10" t="n">
        <v>42050</v>
      </c>
      <c r="H337" s="10" t="n">
        <v>42050</v>
      </c>
      <c r="I337" s="11" t="s">
        <v>839</v>
      </c>
      <c r="J337" s="9" t="s">
        <v>839</v>
      </c>
      <c r="K337" s="9" t="s">
        <v>4</v>
      </c>
      <c r="L337" s="9" t="s">
        <v>13</v>
      </c>
      <c r="M337" s="9" t="n">
        <v>0</v>
      </c>
      <c r="N337" s="9" t="n">
        <v>1974</v>
      </c>
      <c r="O337" s="9" t="n">
        <v>44024</v>
      </c>
    </row>
    <row r="338" customFormat="false" ht="17.25" hidden="false" customHeight="false" outlineLevel="0" collapsed="false">
      <c r="B338" s="9" t="n">
        <v>283</v>
      </c>
      <c r="C338" s="9" t="s">
        <v>840</v>
      </c>
      <c r="D338" s="9" t="s">
        <v>619</v>
      </c>
      <c r="E338" s="9" t="s">
        <v>841</v>
      </c>
      <c r="F338" s="10" t="s">
        <v>299</v>
      </c>
      <c r="G338" s="10" t="n">
        <v>22490</v>
      </c>
      <c r="H338" s="10" t="n">
        <v>22490</v>
      </c>
      <c r="I338" s="11" t="s">
        <v>762</v>
      </c>
      <c r="J338" s="9" t="s">
        <v>688</v>
      </c>
      <c r="K338" s="9" t="s">
        <v>4</v>
      </c>
      <c r="L338" s="9" t="s">
        <v>4</v>
      </c>
      <c r="M338" s="9" t="n">
        <v>961.4475</v>
      </c>
      <c r="N338" s="9" t="n">
        <v>1775.8104</v>
      </c>
      <c r="O338" s="9" t="n">
        <v>25227.2579</v>
      </c>
    </row>
    <row r="339" customFormat="false" ht="17.25" hidden="false" customHeight="false" outlineLevel="0" collapsed="false">
      <c r="B339" s="9" t="n">
        <v>284</v>
      </c>
      <c r="C339" s="9" t="s">
        <v>842</v>
      </c>
      <c r="D339" s="9" t="s">
        <v>797</v>
      </c>
      <c r="E339" s="9" t="s">
        <v>843</v>
      </c>
      <c r="F339" s="10" t="s">
        <v>299</v>
      </c>
      <c r="G339" s="10" t="n">
        <v>23670</v>
      </c>
      <c r="H339" s="10" t="n">
        <v>23670</v>
      </c>
      <c r="I339" s="11" t="s">
        <v>762</v>
      </c>
      <c r="J339" s="9" t="s">
        <v>688</v>
      </c>
      <c r="K339" s="9" t="s">
        <v>4</v>
      </c>
      <c r="L339" s="9" t="s">
        <v>844</v>
      </c>
      <c r="M339" s="9" t="n">
        <v>0</v>
      </c>
      <c r="N339" s="9" t="n">
        <v>1868.9832</v>
      </c>
      <c r="O339" s="9" t="n">
        <v>25538.9832</v>
      </c>
    </row>
    <row r="340" customFormat="false" ht="17.25" hidden="false" customHeight="false" outlineLevel="0" collapsed="false">
      <c r="B340" s="9" t="n">
        <v>306</v>
      </c>
      <c r="C340" s="9" t="s">
        <v>845</v>
      </c>
      <c r="D340" s="9" t="s">
        <v>846</v>
      </c>
      <c r="E340" s="9" t="s">
        <v>847</v>
      </c>
      <c r="F340" s="10" t="s">
        <v>87</v>
      </c>
      <c r="G340" s="10" t="n">
        <v>29155</v>
      </c>
      <c r="H340" s="10" t="n">
        <v>29155</v>
      </c>
      <c r="I340" s="11" t="s">
        <v>751</v>
      </c>
      <c r="J340" s="9" t="s">
        <v>752</v>
      </c>
      <c r="K340" s="9" t="s">
        <v>4</v>
      </c>
      <c r="L340" s="9" t="s">
        <v>4</v>
      </c>
      <c r="M340" s="9" t="n">
        <v>0</v>
      </c>
      <c r="N340" s="9" t="n">
        <v>1974</v>
      </c>
      <c r="O340" s="9" t="n">
        <v>31129</v>
      </c>
    </row>
    <row r="341" customFormat="false" ht="17.25" hidden="false" customHeight="false" outlineLevel="0" collapsed="false">
      <c r="B341" s="9" t="n">
        <v>338</v>
      </c>
      <c r="C341" s="9" t="s">
        <v>848</v>
      </c>
      <c r="D341" s="9" t="s">
        <v>849</v>
      </c>
      <c r="E341" s="9" t="s">
        <v>825</v>
      </c>
      <c r="F341" s="10" t="s">
        <v>299</v>
      </c>
      <c r="G341" s="10" t="n">
        <v>22300</v>
      </c>
      <c r="H341" s="10" t="n">
        <v>22300</v>
      </c>
      <c r="I341" s="11" t="s">
        <v>773</v>
      </c>
      <c r="J341" s="9" t="s">
        <v>774</v>
      </c>
      <c r="K341" s="9" t="s">
        <v>4</v>
      </c>
      <c r="L341" s="9" t="s">
        <v>4</v>
      </c>
      <c r="M341" s="9" t="n">
        <v>953.325</v>
      </c>
      <c r="N341" s="9" t="n">
        <v>1760.808</v>
      </c>
      <c r="O341" s="9" t="n">
        <v>25014.133</v>
      </c>
    </row>
    <row r="342" customFormat="false" ht="17.25" hidden="false" customHeight="false" outlineLevel="0" collapsed="false">
      <c r="B342" s="9" t="n">
        <v>342</v>
      </c>
      <c r="C342" s="9" t="s">
        <v>850</v>
      </c>
      <c r="D342" s="9" t="s">
        <v>851</v>
      </c>
      <c r="E342" s="9" t="s">
        <v>852</v>
      </c>
      <c r="F342" s="10" t="s">
        <v>299</v>
      </c>
      <c r="G342" s="10" t="n">
        <v>22540</v>
      </c>
      <c r="H342" s="10" t="n">
        <v>22540</v>
      </c>
      <c r="I342" s="11" t="s">
        <v>773</v>
      </c>
      <c r="J342" s="9" t="s">
        <v>774</v>
      </c>
      <c r="K342" s="9" t="s">
        <v>4</v>
      </c>
      <c r="L342" s="9" t="s">
        <v>4</v>
      </c>
      <c r="M342" s="9" t="n">
        <v>963.585</v>
      </c>
      <c r="N342" s="9" t="n">
        <v>1779.7584</v>
      </c>
      <c r="O342" s="9" t="n">
        <v>25283.3434</v>
      </c>
    </row>
    <row r="343" customFormat="false" ht="17.25" hidden="false" customHeight="false" outlineLevel="0" collapsed="false">
      <c r="B343" s="9" t="n">
        <v>375</v>
      </c>
      <c r="C343" s="9" t="s">
        <v>853</v>
      </c>
      <c r="D343" s="9" t="s">
        <v>854</v>
      </c>
      <c r="E343" s="9" t="s">
        <v>855</v>
      </c>
      <c r="F343" s="10" t="s">
        <v>64</v>
      </c>
      <c r="G343" s="10" t="n">
        <v>51400</v>
      </c>
      <c r="H343" s="10" t="n">
        <v>51400</v>
      </c>
      <c r="I343" s="11" t="s">
        <v>751</v>
      </c>
      <c r="J343" s="9" t="s">
        <v>752</v>
      </c>
      <c r="K343" s="9" t="s">
        <v>8</v>
      </c>
      <c r="L343" s="9" t="s">
        <v>8</v>
      </c>
      <c r="M343" s="9" t="n">
        <v>0</v>
      </c>
      <c r="N343" s="9" t="n">
        <v>1974</v>
      </c>
      <c r="O343" s="9" t="n">
        <v>53374</v>
      </c>
    </row>
    <row r="344" customFormat="false" ht="17.25" hidden="false" customHeight="false" outlineLevel="0" collapsed="false">
      <c r="B344" s="9" t="n">
        <v>376</v>
      </c>
      <c r="C344" s="9" t="s">
        <v>856</v>
      </c>
      <c r="D344" s="9" t="s">
        <v>757</v>
      </c>
      <c r="E344" s="9" t="s">
        <v>857</v>
      </c>
      <c r="F344" s="10" t="s">
        <v>64</v>
      </c>
      <c r="G344" s="10" t="n">
        <v>48920</v>
      </c>
      <c r="H344" s="10" t="n">
        <v>48920</v>
      </c>
      <c r="I344" s="11" t="s">
        <v>751</v>
      </c>
      <c r="J344" s="9" t="s">
        <v>752</v>
      </c>
      <c r="K344" s="9" t="s">
        <v>8</v>
      </c>
      <c r="L344" s="9" t="s">
        <v>7</v>
      </c>
      <c r="M344" s="9" t="n">
        <v>0</v>
      </c>
      <c r="N344" s="9" t="n">
        <v>1974</v>
      </c>
      <c r="O344" s="9" t="n">
        <v>50894</v>
      </c>
    </row>
    <row r="345" customFormat="false" ht="17.25" hidden="false" customHeight="false" outlineLevel="0" collapsed="false">
      <c r="B345" s="9" t="n">
        <v>377</v>
      </c>
      <c r="C345" s="9" t="s">
        <v>858</v>
      </c>
      <c r="D345" s="9" t="s">
        <v>859</v>
      </c>
      <c r="E345" s="9" t="s">
        <v>860</v>
      </c>
      <c r="F345" s="10" t="s">
        <v>64</v>
      </c>
      <c r="G345" s="10" t="n">
        <v>52490</v>
      </c>
      <c r="H345" s="10" t="n">
        <v>52490</v>
      </c>
      <c r="I345" s="11" t="s">
        <v>861</v>
      </c>
      <c r="J345" s="9" t="s">
        <v>760</v>
      </c>
      <c r="K345" s="9" t="s">
        <v>8</v>
      </c>
      <c r="L345" s="9" t="s">
        <v>8</v>
      </c>
      <c r="M345" s="9" t="n">
        <v>0</v>
      </c>
      <c r="N345" s="9" t="n">
        <v>1974</v>
      </c>
      <c r="O345" s="9" t="n">
        <v>54464</v>
      </c>
    </row>
    <row r="346" customFormat="false" ht="17.25" hidden="false" customHeight="false" outlineLevel="0" collapsed="false">
      <c r="B346" s="9" t="n">
        <v>379</v>
      </c>
      <c r="C346" s="9" t="s">
        <v>862</v>
      </c>
      <c r="D346" s="9" t="s">
        <v>863</v>
      </c>
      <c r="E346" s="9" t="s">
        <v>864</v>
      </c>
      <c r="F346" s="10" t="s">
        <v>750</v>
      </c>
      <c r="G346" s="10" t="n">
        <v>104400</v>
      </c>
      <c r="H346" s="10" t="n">
        <v>104400</v>
      </c>
      <c r="I346" s="11" t="s">
        <v>751</v>
      </c>
      <c r="J346" s="9" t="s">
        <v>752</v>
      </c>
      <c r="K346" s="9" t="s">
        <v>8</v>
      </c>
      <c r="L346" s="9" t="s">
        <v>8</v>
      </c>
      <c r="M346" s="9" t="n">
        <v>0</v>
      </c>
      <c r="N346" s="9" t="n">
        <v>1974</v>
      </c>
      <c r="O346" s="9" t="n">
        <v>106374</v>
      </c>
    </row>
    <row r="347" customFormat="false" ht="17.25" hidden="false" customHeight="false" outlineLevel="0" collapsed="false">
      <c r="B347" s="9" t="n">
        <v>383</v>
      </c>
      <c r="C347" s="9" t="s">
        <v>865</v>
      </c>
      <c r="D347" s="9" t="s">
        <v>866</v>
      </c>
      <c r="E347" s="9" t="s">
        <v>867</v>
      </c>
      <c r="F347" s="10" t="s">
        <v>87</v>
      </c>
      <c r="G347" s="10" t="n">
        <v>26330</v>
      </c>
      <c r="H347" s="10" t="n">
        <v>26330</v>
      </c>
      <c r="I347" s="11" t="s">
        <v>699</v>
      </c>
      <c r="J347" s="9" t="s">
        <v>734</v>
      </c>
      <c r="K347" s="9" t="s">
        <v>8</v>
      </c>
      <c r="L347" s="9" t="s">
        <v>8</v>
      </c>
      <c r="M347" s="9" t="n">
        <v>0</v>
      </c>
      <c r="N347" s="9" t="n">
        <v>1974</v>
      </c>
      <c r="O347" s="9" t="n">
        <v>28304</v>
      </c>
    </row>
    <row r="348" customFormat="false" ht="17.25" hidden="false" customHeight="false" outlineLevel="0" collapsed="false">
      <c r="B348" s="9" t="n">
        <v>385</v>
      </c>
      <c r="C348" s="9" t="s">
        <v>868</v>
      </c>
      <c r="D348" s="9" t="s">
        <v>869</v>
      </c>
      <c r="E348" s="9" t="s">
        <v>870</v>
      </c>
      <c r="F348" s="10" t="s">
        <v>299</v>
      </c>
      <c r="G348" s="10" t="n">
        <v>23880</v>
      </c>
      <c r="H348" s="10" t="n">
        <v>23880</v>
      </c>
      <c r="I348" s="11" t="s">
        <v>751</v>
      </c>
      <c r="J348" s="9" t="s">
        <v>752</v>
      </c>
      <c r="K348" s="9" t="s">
        <v>8</v>
      </c>
      <c r="L348" s="9" t="s">
        <v>8</v>
      </c>
      <c r="M348" s="9" t="n">
        <v>0</v>
      </c>
      <c r="N348" s="9" t="n">
        <v>1885.5648</v>
      </c>
      <c r="O348" s="9" t="n">
        <v>25765.5648</v>
      </c>
    </row>
    <row r="349" customFormat="false" ht="17.25" hidden="false" customHeight="false" outlineLevel="0" collapsed="false">
      <c r="B349" s="9" t="n">
        <v>386</v>
      </c>
      <c r="C349" s="9" t="s">
        <v>871</v>
      </c>
      <c r="D349" s="9" t="s">
        <v>869</v>
      </c>
      <c r="E349" s="9" t="s">
        <v>57</v>
      </c>
      <c r="F349" s="10" t="s">
        <v>299</v>
      </c>
      <c r="G349" s="10" t="n">
        <v>24620</v>
      </c>
      <c r="H349" s="10" t="n">
        <v>24620</v>
      </c>
      <c r="I349" s="11" t="s">
        <v>751</v>
      </c>
      <c r="J349" s="9" t="s">
        <v>752</v>
      </c>
      <c r="K349" s="9" t="s">
        <v>8</v>
      </c>
      <c r="L349" s="9" t="s">
        <v>8</v>
      </c>
      <c r="M349" s="9" t="n">
        <v>0</v>
      </c>
      <c r="N349" s="9" t="n">
        <v>1943.9952</v>
      </c>
      <c r="O349" s="9" t="n">
        <v>26563.9952</v>
      </c>
    </row>
    <row r="350" customFormat="false" ht="17.25" hidden="false" customHeight="false" outlineLevel="0" collapsed="false">
      <c r="B350" s="9" t="n">
        <v>389</v>
      </c>
      <c r="C350" s="9" t="s">
        <v>872</v>
      </c>
      <c r="D350" s="9" t="s">
        <v>757</v>
      </c>
      <c r="E350" s="9" t="s">
        <v>873</v>
      </c>
      <c r="F350" s="10" t="s">
        <v>64</v>
      </c>
      <c r="G350" s="10" t="n">
        <v>40250</v>
      </c>
      <c r="H350" s="10" t="n">
        <v>40250</v>
      </c>
      <c r="I350" s="11" t="s">
        <v>762</v>
      </c>
      <c r="J350" s="9" t="s">
        <v>688</v>
      </c>
      <c r="K350" s="9" t="s">
        <v>8</v>
      </c>
      <c r="L350" s="9" t="s">
        <v>4</v>
      </c>
      <c r="M350" s="9" t="n">
        <v>0</v>
      </c>
      <c r="N350" s="9" t="n">
        <v>1974</v>
      </c>
      <c r="O350" s="9" t="n">
        <v>42224</v>
      </c>
    </row>
    <row r="351" customFormat="false" ht="17.25" hidden="false" customHeight="false" outlineLevel="0" collapsed="false">
      <c r="B351" s="9" t="n">
        <v>402</v>
      </c>
      <c r="C351" s="9" t="s">
        <v>874</v>
      </c>
      <c r="D351" s="9" t="s">
        <v>754</v>
      </c>
      <c r="E351" s="9" t="s">
        <v>875</v>
      </c>
      <c r="F351" s="10" t="s">
        <v>58</v>
      </c>
      <c r="G351" s="10" t="n">
        <v>31900</v>
      </c>
      <c r="H351" s="10" t="n">
        <v>31900</v>
      </c>
      <c r="I351" s="11" t="s">
        <v>876</v>
      </c>
      <c r="J351" s="9" t="s">
        <v>834</v>
      </c>
      <c r="K351" s="9" t="s">
        <v>8</v>
      </c>
      <c r="L351" s="9" t="s">
        <v>8</v>
      </c>
      <c r="M351" s="9" t="n">
        <v>0</v>
      </c>
      <c r="N351" s="9" t="n">
        <v>1974</v>
      </c>
      <c r="O351" s="9" t="n">
        <v>33874</v>
      </c>
    </row>
    <row r="352" customFormat="false" ht="17.25" hidden="false" customHeight="false" outlineLevel="0" collapsed="false">
      <c r="B352" s="9" t="n">
        <v>403</v>
      </c>
      <c r="C352" s="9" t="s">
        <v>877</v>
      </c>
      <c r="D352" s="9" t="s">
        <v>811</v>
      </c>
      <c r="E352" s="9" t="s">
        <v>878</v>
      </c>
      <c r="F352" s="10" t="s">
        <v>64</v>
      </c>
      <c r="G352" s="10" t="n">
        <v>42840</v>
      </c>
      <c r="H352" s="10" t="n">
        <v>42840</v>
      </c>
      <c r="I352" s="11" t="s">
        <v>773</v>
      </c>
      <c r="J352" s="9" t="s">
        <v>774</v>
      </c>
      <c r="K352" s="9" t="s">
        <v>8</v>
      </c>
      <c r="L352" s="9" t="s">
        <v>8</v>
      </c>
      <c r="M352" s="9" t="n">
        <v>0</v>
      </c>
      <c r="N352" s="9" t="n">
        <v>1974</v>
      </c>
      <c r="O352" s="9" t="n">
        <v>44814</v>
      </c>
    </row>
    <row r="353" customFormat="false" ht="17.25" hidden="false" customHeight="false" outlineLevel="0" collapsed="false">
      <c r="B353" s="9" t="n">
        <v>404</v>
      </c>
      <c r="C353" s="9" t="s">
        <v>879</v>
      </c>
      <c r="D353" s="9" t="s">
        <v>574</v>
      </c>
      <c r="E353" s="9" t="s">
        <v>880</v>
      </c>
      <c r="F353" s="10" t="s">
        <v>64</v>
      </c>
      <c r="G353" s="10" t="n">
        <v>39720</v>
      </c>
      <c r="H353" s="10" t="n">
        <v>39720</v>
      </c>
      <c r="I353" s="11" t="s">
        <v>839</v>
      </c>
      <c r="J353" s="9" t="s">
        <v>839</v>
      </c>
      <c r="K353" s="9" t="s">
        <v>8</v>
      </c>
      <c r="L353" s="9" t="s">
        <v>8</v>
      </c>
      <c r="M353" s="9" t="n">
        <v>0</v>
      </c>
      <c r="N353" s="9" t="n">
        <v>1974</v>
      </c>
      <c r="O353" s="9" t="n">
        <v>41694</v>
      </c>
    </row>
    <row r="354" customFormat="false" ht="17.25" hidden="false" customHeight="false" outlineLevel="0" collapsed="false">
      <c r="B354" s="9" t="n">
        <v>462</v>
      </c>
      <c r="C354" s="9" t="s">
        <v>881</v>
      </c>
      <c r="D354" s="9" t="s">
        <v>869</v>
      </c>
      <c r="E354" s="9" t="s">
        <v>882</v>
      </c>
      <c r="F354" s="10" t="s">
        <v>299</v>
      </c>
      <c r="G354" s="10" t="n">
        <v>19790</v>
      </c>
      <c r="H354" s="10" t="n">
        <v>19790</v>
      </c>
      <c r="I354" s="11" t="s">
        <v>751</v>
      </c>
      <c r="J354" s="9" t="s">
        <v>752</v>
      </c>
      <c r="K354" s="9" t="s">
        <v>5</v>
      </c>
      <c r="L354" s="9" t="s">
        <v>5</v>
      </c>
      <c r="M354" s="9" t="n">
        <v>940.025</v>
      </c>
      <c r="N354" s="9" t="n">
        <v>1823.0548</v>
      </c>
      <c r="O354" s="9" t="n">
        <v>22553.0798</v>
      </c>
    </row>
    <row r="355" customFormat="false" ht="17.25" hidden="false" customHeight="false" outlineLevel="0" collapsed="false">
      <c r="B355" s="9" t="n">
        <v>525</v>
      </c>
      <c r="C355" s="9" t="s">
        <v>883</v>
      </c>
      <c r="D355" s="9" t="s">
        <v>771</v>
      </c>
      <c r="E355" s="9" t="s">
        <v>884</v>
      </c>
      <c r="F355" s="10" t="s">
        <v>64</v>
      </c>
      <c r="G355" s="10" t="n">
        <v>49190</v>
      </c>
      <c r="H355" s="10" t="n">
        <v>49190</v>
      </c>
      <c r="I355" s="11" t="s">
        <v>773</v>
      </c>
      <c r="J355" s="9" t="s">
        <v>774</v>
      </c>
      <c r="K355" s="9" t="s">
        <v>5</v>
      </c>
      <c r="L355" s="9" t="s">
        <v>5</v>
      </c>
      <c r="M355" s="9" t="n">
        <v>0</v>
      </c>
      <c r="N355" s="9" t="n">
        <v>1974</v>
      </c>
      <c r="O355" s="9" t="n">
        <v>51164</v>
      </c>
    </row>
    <row r="356" customFormat="false" ht="17.25" hidden="false" customHeight="false" outlineLevel="0" collapsed="false">
      <c r="B356" s="9" t="n">
        <v>529</v>
      </c>
      <c r="C356" s="9" t="s">
        <v>885</v>
      </c>
      <c r="D356" s="9" t="s">
        <v>754</v>
      </c>
      <c r="E356" s="9" t="s">
        <v>886</v>
      </c>
      <c r="F356" s="10" t="s">
        <v>87</v>
      </c>
      <c r="G356" s="10" t="n">
        <v>23930</v>
      </c>
      <c r="H356" s="10" t="n">
        <v>23930</v>
      </c>
      <c r="I356" s="11" t="s">
        <v>762</v>
      </c>
      <c r="J356" s="9" t="s">
        <v>688</v>
      </c>
      <c r="K356" s="9" t="s">
        <v>5</v>
      </c>
      <c r="L356" s="9" t="s">
        <v>3</v>
      </c>
      <c r="M356" s="9" t="n">
        <v>0</v>
      </c>
      <c r="N356" s="9" t="n">
        <v>1974</v>
      </c>
      <c r="O356" s="9" t="n">
        <v>25904</v>
      </c>
    </row>
    <row r="357" customFormat="false" ht="17.25" hidden="false" customHeight="false" outlineLevel="0" collapsed="false">
      <c r="B357" s="9" t="n">
        <v>533</v>
      </c>
      <c r="C357" s="9" t="s">
        <v>887</v>
      </c>
      <c r="D357" s="9" t="s">
        <v>732</v>
      </c>
      <c r="E357" s="9" t="s">
        <v>888</v>
      </c>
      <c r="F357" s="10" t="s">
        <v>64</v>
      </c>
      <c r="G357" s="10" t="n">
        <v>37670</v>
      </c>
      <c r="H357" s="10" t="n">
        <v>37670</v>
      </c>
      <c r="I357" s="11" t="s">
        <v>889</v>
      </c>
      <c r="J357" s="9" t="s">
        <v>734</v>
      </c>
      <c r="K357" s="9" t="s">
        <v>5</v>
      </c>
      <c r="L357" s="9" t="s">
        <v>13</v>
      </c>
      <c r="M357" s="9" t="n">
        <v>0</v>
      </c>
      <c r="N357" s="9" t="n">
        <v>1974</v>
      </c>
      <c r="O357" s="9" t="n">
        <v>39644</v>
      </c>
    </row>
    <row r="358" customFormat="false" ht="17.25" hidden="false" customHeight="false" outlineLevel="0" collapsed="false">
      <c r="B358" s="9" t="n">
        <v>534</v>
      </c>
      <c r="C358" s="9" t="s">
        <v>890</v>
      </c>
      <c r="D358" s="9" t="s">
        <v>619</v>
      </c>
      <c r="E358" s="9" t="s">
        <v>891</v>
      </c>
      <c r="F358" s="10" t="s">
        <v>299</v>
      </c>
      <c r="G358" s="10" t="n">
        <v>24660</v>
      </c>
      <c r="H358" s="10" t="n">
        <v>24660</v>
      </c>
      <c r="I358" s="11" t="s">
        <v>699</v>
      </c>
      <c r="J358" s="9" t="s">
        <v>734</v>
      </c>
      <c r="K358" s="9" t="s">
        <v>5</v>
      </c>
      <c r="L358" s="9" t="s">
        <v>5</v>
      </c>
      <c r="M358" s="9" t="n">
        <v>0</v>
      </c>
      <c r="N358" s="9" t="n">
        <v>1974</v>
      </c>
      <c r="O358" s="9" t="n">
        <v>26634</v>
      </c>
    </row>
    <row r="359" customFormat="false" ht="17.25" hidden="false" customHeight="false" outlineLevel="0" collapsed="false">
      <c r="B359" s="9" t="n">
        <v>536</v>
      </c>
      <c r="C359" s="9" t="s">
        <v>892</v>
      </c>
      <c r="D359" s="9" t="s">
        <v>797</v>
      </c>
      <c r="E359" s="9" t="s">
        <v>893</v>
      </c>
      <c r="F359" s="10" t="s">
        <v>299</v>
      </c>
      <c r="G359" s="10" t="n">
        <v>19760</v>
      </c>
      <c r="H359" s="10" t="n">
        <v>19760</v>
      </c>
      <c r="I359" s="11" t="s">
        <v>699</v>
      </c>
      <c r="J359" s="9" t="s">
        <v>734</v>
      </c>
      <c r="K359" s="9" t="s">
        <v>5</v>
      </c>
      <c r="L359" s="9" t="s">
        <v>13</v>
      </c>
      <c r="M359" s="9" t="n">
        <v>938.6</v>
      </c>
      <c r="N359" s="9" t="n">
        <v>1820.2912</v>
      </c>
      <c r="O359" s="9" t="n">
        <v>22518.8912</v>
      </c>
    </row>
    <row r="360" customFormat="false" ht="17.25" hidden="false" customHeight="false" outlineLevel="0" collapsed="false">
      <c r="B360" s="9" t="n">
        <v>538</v>
      </c>
      <c r="C360" s="9" t="s">
        <v>894</v>
      </c>
      <c r="D360" s="9" t="s">
        <v>895</v>
      </c>
      <c r="E360" s="9" t="s">
        <v>896</v>
      </c>
      <c r="F360" s="10" t="s">
        <v>299</v>
      </c>
      <c r="G360" s="10" t="n">
        <v>19870</v>
      </c>
      <c r="H360" s="10" t="n">
        <v>19870</v>
      </c>
      <c r="I360" s="11" t="s">
        <v>795</v>
      </c>
      <c r="J360" s="9" t="s">
        <v>734</v>
      </c>
      <c r="K360" s="9" t="s">
        <v>5</v>
      </c>
      <c r="L360" s="9" t="s">
        <v>13</v>
      </c>
      <c r="M360" s="9" t="n">
        <v>943.825</v>
      </c>
      <c r="N360" s="9" t="n">
        <v>1830.4244</v>
      </c>
      <c r="O360" s="9" t="n">
        <v>22644.2494</v>
      </c>
    </row>
    <row r="361" customFormat="false" ht="17.25" hidden="false" customHeight="false" outlineLevel="0" collapsed="false">
      <c r="B361" s="9" t="n">
        <v>557</v>
      </c>
      <c r="C361" s="9" t="s">
        <v>897</v>
      </c>
      <c r="D361" s="9" t="s">
        <v>898</v>
      </c>
      <c r="E361" s="9" t="s">
        <v>899</v>
      </c>
      <c r="F361" s="10" t="s">
        <v>58</v>
      </c>
      <c r="G361" s="10" t="n">
        <v>34890</v>
      </c>
      <c r="H361" s="10" t="n">
        <v>34890</v>
      </c>
      <c r="I361" s="11" t="s">
        <v>795</v>
      </c>
      <c r="J361" s="9" t="s">
        <v>734</v>
      </c>
      <c r="K361" s="9" t="s">
        <v>3</v>
      </c>
      <c r="L361" s="9" t="s">
        <v>13</v>
      </c>
      <c r="M361" s="9" t="n">
        <v>0</v>
      </c>
      <c r="N361" s="9" t="n">
        <v>1974</v>
      </c>
      <c r="O361" s="9" t="n">
        <v>36864</v>
      </c>
    </row>
    <row r="362" customFormat="false" ht="17.25" hidden="false" customHeight="false" outlineLevel="0" collapsed="false">
      <c r="B362" s="9" t="n">
        <v>558</v>
      </c>
      <c r="C362" s="9" t="s">
        <v>900</v>
      </c>
      <c r="D362" s="9" t="s">
        <v>574</v>
      </c>
      <c r="E362" s="9" t="s">
        <v>901</v>
      </c>
      <c r="F362" s="10" t="s">
        <v>58</v>
      </c>
      <c r="G362" s="10" t="n">
        <v>34220</v>
      </c>
      <c r="H362" s="10" t="n">
        <v>34220</v>
      </c>
      <c r="I362" s="11" t="s">
        <v>762</v>
      </c>
      <c r="J362" s="9" t="s">
        <v>688</v>
      </c>
      <c r="K362" s="9" t="s">
        <v>3</v>
      </c>
      <c r="L362" s="9" t="s">
        <v>3</v>
      </c>
      <c r="M362" s="9" t="n">
        <v>0</v>
      </c>
      <c r="N362" s="9" t="n">
        <v>1974</v>
      </c>
      <c r="O362" s="9" t="n">
        <v>36194</v>
      </c>
    </row>
    <row r="363" customFormat="false" ht="17.25" hidden="false" customHeight="false" outlineLevel="0" collapsed="false">
      <c r="B363" s="9" t="n">
        <v>566</v>
      </c>
      <c r="C363" s="9" t="s">
        <v>902</v>
      </c>
      <c r="D363" s="9" t="s">
        <v>903</v>
      </c>
      <c r="E363" s="9" t="s">
        <v>788</v>
      </c>
      <c r="F363" s="10" t="s">
        <v>64</v>
      </c>
      <c r="G363" s="10" t="n">
        <v>45600</v>
      </c>
      <c r="H363" s="10" t="n">
        <v>45600</v>
      </c>
      <c r="I363" s="11" t="s">
        <v>751</v>
      </c>
      <c r="J363" s="9" t="s">
        <v>752</v>
      </c>
      <c r="K363" s="9" t="s">
        <v>3</v>
      </c>
      <c r="L363" s="9" t="s">
        <v>3</v>
      </c>
      <c r="M363" s="9" t="n">
        <v>0</v>
      </c>
      <c r="N363" s="9" t="n">
        <v>1974</v>
      </c>
      <c r="O363" s="9" t="n">
        <v>47574</v>
      </c>
    </row>
    <row r="364" customFormat="false" ht="17.25" hidden="false" customHeight="false" outlineLevel="0" collapsed="false">
      <c r="B364" s="9" t="n">
        <v>571</v>
      </c>
      <c r="C364" s="9" t="s">
        <v>904</v>
      </c>
      <c r="D364" s="9" t="s">
        <v>584</v>
      </c>
      <c r="E364" s="9" t="s">
        <v>880</v>
      </c>
      <c r="F364" s="10" t="s">
        <v>109</v>
      </c>
      <c r="G364" s="10" t="n">
        <v>17360</v>
      </c>
      <c r="H364" s="10" t="n">
        <v>17360</v>
      </c>
      <c r="I364" s="11" t="s">
        <v>905</v>
      </c>
      <c r="J364" s="9" t="s">
        <v>739</v>
      </c>
      <c r="K364" s="9" t="s">
        <v>3</v>
      </c>
      <c r="L364" s="9" t="s">
        <v>3</v>
      </c>
      <c r="M364" s="9" t="n">
        <v>742.14</v>
      </c>
      <c r="N364" s="9" t="n">
        <v>1370.7456</v>
      </c>
      <c r="O364" s="9" t="n">
        <v>19472.8856</v>
      </c>
    </row>
    <row r="365" customFormat="false" ht="17.25" hidden="false" customHeight="false" outlineLevel="0" collapsed="false">
      <c r="B365" s="9" t="n">
        <v>573</v>
      </c>
      <c r="C365" s="9" t="s">
        <v>906</v>
      </c>
      <c r="D365" s="9" t="s">
        <v>757</v>
      </c>
      <c r="E365" s="9" t="s">
        <v>907</v>
      </c>
      <c r="F365" s="10" t="s">
        <v>58</v>
      </c>
      <c r="G365" s="10" t="n">
        <v>32580</v>
      </c>
      <c r="H365" s="10" t="n">
        <v>32580</v>
      </c>
      <c r="I365" s="11" t="s">
        <v>804</v>
      </c>
      <c r="J365" s="9" t="s">
        <v>743</v>
      </c>
      <c r="K365" s="9" t="s">
        <v>3</v>
      </c>
      <c r="L365" s="9" t="s">
        <v>3</v>
      </c>
      <c r="M365" s="9" t="n">
        <v>0</v>
      </c>
      <c r="N365" s="9" t="n">
        <v>1974</v>
      </c>
      <c r="O365" s="9" t="n">
        <v>34554</v>
      </c>
    </row>
    <row r="366" customFormat="false" ht="17.25" hidden="false" customHeight="false" outlineLevel="0" collapsed="false">
      <c r="B366" s="9" t="n">
        <v>584</v>
      </c>
      <c r="C366" s="9" t="s">
        <v>908</v>
      </c>
      <c r="D366" s="9" t="s">
        <v>619</v>
      </c>
      <c r="E366" s="9" t="s">
        <v>909</v>
      </c>
      <c r="F366" s="10" t="s">
        <v>299</v>
      </c>
      <c r="G366" s="10" t="n">
        <v>19980</v>
      </c>
      <c r="H366" s="10" t="n">
        <v>19980</v>
      </c>
      <c r="I366" s="11" t="s">
        <v>759</v>
      </c>
      <c r="J366" s="9" t="s">
        <v>760</v>
      </c>
      <c r="K366" s="9" t="s">
        <v>3</v>
      </c>
      <c r="L366" s="9" t="s">
        <v>10</v>
      </c>
      <c r="M366" s="9" t="n">
        <v>854.145</v>
      </c>
      <c r="N366" s="9" t="n">
        <v>1577.6208</v>
      </c>
      <c r="O366" s="9" t="n">
        <v>22411.7658</v>
      </c>
    </row>
    <row r="367" customFormat="false" ht="17.25" hidden="false" customHeight="false" outlineLevel="0" collapsed="false">
      <c r="B367" s="9" t="n">
        <v>638</v>
      </c>
      <c r="C367" s="9" t="s">
        <v>910</v>
      </c>
      <c r="D367" s="9" t="s">
        <v>869</v>
      </c>
      <c r="E367" s="9" t="s">
        <v>911</v>
      </c>
      <c r="F367" s="10" t="s">
        <v>299</v>
      </c>
      <c r="G367" s="10" t="n">
        <v>21420</v>
      </c>
      <c r="H367" s="10" t="n">
        <v>21420</v>
      </c>
      <c r="I367" s="11" t="s">
        <v>773</v>
      </c>
      <c r="J367" s="9" t="s">
        <v>773</v>
      </c>
      <c r="K367" s="9" t="s">
        <v>5</v>
      </c>
      <c r="L367" s="9" t="s">
        <v>5</v>
      </c>
      <c r="M367" s="9" t="n">
        <v>0</v>
      </c>
      <c r="N367" s="9" t="n">
        <v>1973.2104</v>
      </c>
      <c r="O367" s="9" t="n">
        <v>23393.2104</v>
      </c>
    </row>
    <row r="368" customFormat="false" ht="17.25" hidden="false" customHeight="false" outlineLevel="0" collapsed="false">
      <c r="B368" s="9" t="n">
        <v>654</v>
      </c>
      <c r="C368" s="9" t="s">
        <v>912</v>
      </c>
      <c r="D368" s="9" t="s">
        <v>913</v>
      </c>
      <c r="E368" s="9" t="s">
        <v>914</v>
      </c>
      <c r="F368" s="10" t="s">
        <v>750</v>
      </c>
      <c r="G368" s="10" t="n">
        <v>91890</v>
      </c>
      <c r="H368" s="10" t="n">
        <v>91890</v>
      </c>
      <c r="I368" s="11" t="s">
        <v>839</v>
      </c>
      <c r="J368" s="9" t="s">
        <v>839</v>
      </c>
      <c r="K368" s="9" t="s">
        <v>10</v>
      </c>
      <c r="L368" s="9" t="s">
        <v>13</v>
      </c>
      <c r="M368" s="9" t="n">
        <v>0</v>
      </c>
      <c r="N368" s="9" t="n">
        <v>1974</v>
      </c>
      <c r="O368" s="9" t="n">
        <v>93864</v>
      </c>
    </row>
    <row r="369" customFormat="false" ht="17.25" hidden="false" customHeight="false" outlineLevel="0" collapsed="false">
      <c r="B369" s="9" t="n">
        <v>658</v>
      </c>
      <c r="C369" s="9" t="s">
        <v>915</v>
      </c>
      <c r="D369" s="9" t="s">
        <v>797</v>
      </c>
      <c r="E369" s="9" t="s">
        <v>916</v>
      </c>
      <c r="F369" s="10" t="s">
        <v>299</v>
      </c>
      <c r="G369" s="10" t="n">
        <v>19410</v>
      </c>
      <c r="H369" s="10" t="n">
        <v>19410</v>
      </c>
      <c r="I369" s="11" t="s">
        <v>839</v>
      </c>
      <c r="J369" s="9" t="s">
        <v>839</v>
      </c>
      <c r="K369" s="9" t="s">
        <v>10</v>
      </c>
      <c r="L369" s="9" t="s">
        <v>13</v>
      </c>
      <c r="M369" s="9" t="n">
        <v>829.7775</v>
      </c>
      <c r="N369" s="9" t="n">
        <v>1532.6136</v>
      </c>
      <c r="O369" s="9" t="n">
        <v>21772.3911</v>
      </c>
    </row>
    <row r="370" customFormat="false" ht="17.25" hidden="false" customHeight="false" outlineLevel="0" collapsed="false">
      <c r="B370" s="9" t="n">
        <v>659</v>
      </c>
      <c r="C370" s="9" t="s">
        <v>917</v>
      </c>
      <c r="D370" s="9" t="s">
        <v>898</v>
      </c>
      <c r="E370" s="9" t="s">
        <v>918</v>
      </c>
      <c r="F370" s="10" t="s">
        <v>58</v>
      </c>
      <c r="G370" s="10" t="n">
        <v>30100</v>
      </c>
      <c r="H370" s="10" t="n">
        <v>30100</v>
      </c>
      <c r="I370" s="11" t="s">
        <v>762</v>
      </c>
      <c r="J370" s="9" t="s">
        <v>688</v>
      </c>
      <c r="K370" s="9" t="s">
        <v>10</v>
      </c>
      <c r="L370" s="9" t="s">
        <v>10</v>
      </c>
      <c r="M370" s="9" t="n">
        <v>0</v>
      </c>
      <c r="N370" s="9" t="n">
        <v>1974</v>
      </c>
      <c r="O370" s="9" t="n">
        <v>32074</v>
      </c>
    </row>
    <row r="371" customFormat="false" ht="17.25" hidden="false" customHeight="false" outlineLevel="0" collapsed="false">
      <c r="B371" s="9" t="n">
        <v>669</v>
      </c>
      <c r="C371" s="9" t="s">
        <v>919</v>
      </c>
      <c r="D371" s="9" t="s">
        <v>811</v>
      </c>
      <c r="E371" s="9" t="s">
        <v>920</v>
      </c>
      <c r="F371" s="10" t="s">
        <v>58</v>
      </c>
      <c r="G371" s="10" t="n">
        <v>28850</v>
      </c>
      <c r="H371" s="10" t="n">
        <v>28850</v>
      </c>
      <c r="I371" s="11" t="s">
        <v>738</v>
      </c>
      <c r="J371" s="9" t="s">
        <v>739</v>
      </c>
      <c r="K371" s="9" t="s">
        <v>10</v>
      </c>
      <c r="L371" s="9" t="s">
        <v>13</v>
      </c>
      <c r="M371" s="9" t="n">
        <v>0</v>
      </c>
      <c r="N371" s="9" t="n">
        <v>1974</v>
      </c>
      <c r="O371" s="9" t="n">
        <v>30824</v>
      </c>
    </row>
    <row r="372" customFormat="false" ht="17.25" hidden="false" customHeight="false" outlineLevel="0" collapsed="false">
      <c r="B372" s="9" t="n">
        <v>675</v>
      </c>
      <c r="C372" s="9" t="s">
        <v>921</v>
      </c>
      <c r="D372" s="9" t="s">
        <v>732</v>
      </c>
      <c r="E372" s="9" t="s">
        <v>922</v>
      </c>
      <c r="F372" s="10" t="s">
        <v>64</v>
      </c>
      <c r="G372" s="10" t="n">
        <v>34750</v>
      </c>
      <c r="H372" s="10" t="n">
        <v>34750</v>
      </c>
      <c r="I372" s="11" t="s">
        <v>759</v>
      </c>
      <c r="J372" s="9" t="s">
        <v>760</v>
      </c>
      <c r="K372" s="9" t="s">
        <v>10</v>
      </c>
      <c r="L372" s="9" t="s">
        <v>10</v>
      </c>
      <c r="M372" s="9" t="n">
        <v>0</v>
      </c>
      <c r="N372" s="9" t="n">
        <v>1974</v>
      </c>
      <c r="O372" s="9" t="n">
        <v>36724</v>
      </c>
    </row>
    <row r="373" customFormat="false" ht="17.25" hidden="false" customHeight="false" outlineLevel="0" collapsed="false">
      <c r="B373" s="9" t="n">
        <v>681</v>
      </c>
      <c r="C373" s="9" t="s">
        <v>923</v>
      </c>
      <c r="D373" s="9" t="s">
        <v>757</v>
      </c>
      <c r="E373" s="9" t="s">
        <v>91</v>
      </c>
      <c r="F373" s="10" t="s">
        <v>64</v>
      </c>
      <c r="G373" s="10" t="n">
        <v>38620</v>
      </c>
      <c r="H373" s="10" t="n">
        <v>38620</v>
      </c>
      <c r="I373" s="11" t="s">
        <v>699</v>
      </c>
      <c r="J373" s="9" t="s">
        <v>734</v>
      </c>
      <c r="K373" s="9" t="s">
        <v>3</v>
      </c>
      <c r="L373" s="9" t="s">
        <v>3</v>
      </c>
      <c r="M373" s="9" t="n">
        <v>0</v>
      </c>
      <c r="N373" s="9" t="n">
        <v>1974</v>
      </c>
      <c r="O373" s="9" t="n">
        <v>40594</v>
      </c>
    </row>
    <row r="374" customFormat="false" ht="17.25" hidden="false" customHeight="false" outlineLevel="0" collapsed="false">
      <c r="B374" s="9" t="n">
        <v>682</v>
      </c>
      <c r="C374" s="9" t="s">
        <v>924</v>
      </c>
      <c r="D374" s="9" t="s">
        <v>766</v>
      </c>
      <c r="E374" s="9" t="s">
        <v>909</v>
      </c>
      <c r="F374" s="10" t="s">
        <v>61</v>
      </c>
      <c r="G374" s="10" t="n">
        <v>55670</v>
      </c>
      <c r="H374" s="10" t="n">
        <v>55670</v>
      </c>
      <c r="I374" s="11" t="s">
        <v>925</v>
      </c>
      <c r="J374" s="9" t="s">
        <v>926</v>
      </c>
      <c r="K374" s="9" t="s">
        <v>3</v>
      </c>
      <c r="L374" s="9" t="s">
        <v>13</v>
      </c>
      <c r="M374" s="9" t="n">
        <v>0</v>
      </c>
      <c r="N374" s="9" t="n">
        <v>1974</v>
      </c>
      <c r="O374" s="9" t="n">
        <v>57644</v>
      </c>
    </row>
    <row r="375" customFormat="false" ht="17.25" hidden="false" customHeight="false" outlineLevel="0" collapsed="false">
      <c r="B375" s="9" t="n">
        <v>684</v>
      </c>
      <c r="C375" s="9" t="s">
        <v>927</v>
      </c>
      <c r="D375" s="9" t="s">
        <v>898</v>
      </c>
      <c r="E375" s="9" t="s">
        <v>95</v>
      </c>
      <c r="F375" s="10" t="s">
        <v>58</v>
      </c>
      <c r="G375" s="10" t="n">
        <v>27720</v>
      </c>
      <c r="H375" s="10" t="n">
        <v>27720</v>
      </c>
      <c r="I375" s="11" t="s">
        <v>699</v>
      </c>
      <c r="J375" s="9" t="s">
        <v>734</v>
      </c>
      <c r="K375" s="9" t="s">
        <v>3</v>
      </c>
      <c r="L375" s="9" t="s">
        <v>5</v>
      </c>
      <c r="M375" s="9" t="n">
        <v>0</v>
      </c>
      <c r="N375" s="9" t="n">
        <v>1974</v>
      </c>
      <c r="O375" s="9" t="n">
        <v>29694</v>
      </c>
    </row>
    <row r="376" customFormat="false" ht="17.25" hidden="false" customHeight="false" outlineLevel="0" collapsed="false">
      <c r="B376" s="9" t="n">
        <v>727</v>
      </c>
      <c r="C376" s="9" t="s">
        <v>928</v>
      </c>
      <c r="D376" s="9" t="s">
        <v>895</v>
      </c>
      <c r="E376" s="9" t="s">
        <v>91</v>
      </c>
      <c r="F376" s="10" t="s">
        <v>299</v>
      </c>
      <c r="G376" s="10" t="n">
        <v>19670</v>
      </c>
      <c r="H376" s="10" t="n">
        <v>19670</v>
      </c>
      <c r="I376" s="11" t="s">
        <v>762</v>
      </c>
      <c r="J376" s="9" t="s">
        <v>688</v>
      </c>
      <c r="K376" s="9" t="s">
        <v>10</v>
      </c>
      <c r="L376" s="9" t="s">
        <v>10</v>
      </c>
      <c r="M376" s="9" t="n">
        <v>840.8925</v>
      </c>
      <c r="N376" s="9" t="n">
        <v>1553.1432</v>
      </c>
      <c r="O376" s="9" t="n">
        <v>22064.0357</v>
      </c>
    </row>
    <row r="377" customFormat="false" ht="17.25" hidden="false" customHeight="false" outlineLevel="0" collapsed="false">
      <c r="B377" s="9" t="n">
        <v>757</v>
      </c>
      <c r="C377" s="9" t="s">
        <v>929</v>
      </c>
      <c r="D377" s="9" t="s">
        <v>754</v>
      </c>
      <c r="E377" s="9" t="s">
        <v>567</v>
      </c>
      <c r="F377" s="10" t="s">
        <v>87</v>
      </c>
      <c r="G377" s="10" t="n">
        <v>21740</v>
      </c>
      <c r="H377" s="10" t="n">
        <v>21740</v>
      </c>
      <c r="I377" s="11" t="s">
        <v>839</v>
      </c>
      <c r="J377" s="9" t="s">
        <v>839</v>
      </c>
      <c r="K377" s="9" t="s">
        <v>3</v>
      </c>
      <c r="L377" s="9" t="s">
        <v>13</v>
      </c>
      <c r="M377" s="9" t="n">
        <v>929.385</v>
      </c>
      <c r="N377" s="9" t="n">
        <v>1716.5904</v>
      </c>
      <c r="O377" s="9" t="n">
        <v>24385.9754</v>
      </c>
    </row>
    <row r="378" customFormat="false" ht="17.25" hidden="false" customHeight="false" outlineLevel="0" collapsed="false">
      <c r="B378" s="9" t="n">
        <v>834</v>
      </c>
      <c r="C378" s="9" t="s">
        <v>930</v>
      </c>
      <c r="D378" s="9" t="s">
        <v>754</v>
      </c>
      <c r="E378" s="9" t="s">
        <v>91</v>
      </c>
      <c r="F378" s="10" t="s">
        <v>87</v>
      </c>
      <c r="G378" s="10" t="n">
        <v>31920</v>
      </c>
      <c r="H378" s="10" t="n">
        <v>31920</v>
      </c>
      <c r="I378" s="11" t="s">
        <v>699</v>
      </c>
      <c r="J378" s="9" t="s">
        <v>734</v>
      </c>
      <c r="K378" s="9" t="s">
        <v>10</v>
      </c>
      <c r="L378" s="9" t="s">
        <v>3</v>
      </c>
      <c r="M378" s="9" t="n">
        <v>0</v>
      </c>
      <c r="N378" s="9" t="n">
        <v>1974</v>
      </c>
      <c r="O378" s="9" t="n">
        <v>33894</v>
      </c>
    </row>
    <row r="379" customFormat="false" ht="17.25" hidden="false" customHeight="false" outlineLevel="0" collapsed="false">
      <c r="B379" s="9" t="n">
        <v>837</v>
      </c>
      <c r="C379" s="9" t="s">
        <v>931</v>
      </c>
      <c r="D379" s="9" t="s">
        <v>797</v>
      </c>
      <c r="E379" s="9" t="s">
        <v>932</v>
      </c>
      <c r="F379" s="10" t="s">
        <v>299</v>
      </c>
      <c r="G379" s="10" t="n">
        <v>25920</v>
      </c>
      <c r="H379" s="10" t="n">
        <v>25920</v>
      </c>
      <c r="I379" s="11" t="s">
        <v>751</v>
      </c>
      <c r="J379" s="9" t="s">
        <v>752</v>
      </c>
      <c r="K379" s="9" t="s">
        <v>5</v>
      </c>
      <c r="L379" s="9" t="s">
        <v>4</v>
      </c>
      <c r="M379" s="9" t="n">
        <v>0</v>
      </c>
      <c r="N379" s="9" t="n">
        <v>1974</v>
      </c>
      <c r="O379" s="9" t="n">
        <v>27894</v>
      </c>
    </row>
    <row r="380" customFormat="false" ht="17.25" hidden="false" customHeight="false" outlineLevel="0" collapsed="false">
      <c r="B380" s="9" t="n">
        <v>840</v>
      </c>
      <c r="C380" s="9" t="s">
        <v>933</v>
      </c>
      <c r="D380" s="9" t="s">
        <v>780</v>
      </c>
      <c r="E380" s="9" t="s">
        <v>934</v>
      </c>
      <c r="F380" s="10" t="s">
        <v>299</v>
      </c>
      <c r="G380" s="10" t="n">
        <v>20490</v>
      </c>
      <c r="H380" s="10" t="n">
        <v>20490</v>
      </c>
      <c r="I380" s="11" t="s">
        <v>759</v>
      </c>
      <c r="J380" s="9" t="s">
        <v>760</v>
      </c>
      <c r="K380" s="9" t="s">
        <v>5</v>
      </c>
      <c r="L380" s="9" t="s">
        <v>10</v>
      </c>
      <c r="M380" s="9" t="n">
        <v>973.275</v>
      </c>
      <c r="N380" s="9" t="n">
        <v>1887.5388</v>
      </c>
      <c r="O380" s="9" t="n">
        <v>23350.8138</v>
      </c>
    </row>
    <row r="381" customFormat="false" ht="17.25" hidden="false" customHeight="false" outlineLevel="0" collapsed="false">
      <c r="B381" s="9" t="n">
        <v>889</v>
      </c>
      <c r="C381" s="9" t="s">
        <v>935</v>
      </c>
      <c r="D381" s="9" t="s">
        <v>936</v>
      </c>
      <c r="E381" s="9" t="s">
        <v>937</v>
      </c>
      <c r="F381" s="10" t="s">
        <v>109</v>
      </c>
      <c r="G381" s="10" t="n">
        <v>16690</v>
      </c>
      <c r="H381" s="10" t="n">
        <v>11126.67</v>
      </c>
      <c r="I381" s="11" t="s">
        <v>799</v>
      </c>
      <c r="J381" s="9" t="s">
        <v>739</v>
      </c>
      <c r="K381" s="9" t="s">
        <v>10</v>
      </c>
      <c r="L381" s="9" t="s">
        <v>10</v>
      </c>
      <c r="M381" s="9" t="n">
        <v>475.6651425</v>
      </c>
      <c r="N381" s="9" t="n">
        <v>878.5618632</v>
      </c>
      <c r="O381" s="9" t="n">
        <v>12480.8970057</v>
      </c>
    </row>
    <row r="382" customFormat="false" ht="17.25" hidden="false" customHeight="false" outlineLevel="0" collapsed="false">
      <c r="B382" s="9" t="n">
        <v>894</v>
      </c>
      <c r="C382" s="9" t="s">
        <v>938</v>
      </c>
      <c r="D382" s="9" t="s">
        <v>898</v>
      </c>
      <c r="E382" s="9" t="s">
        <v>939</v>
      </c>
      <c r="F382" s="10" t="s">
        <v>58</v>
      </c>
      <c r="G382" s="10" t="n">
        <v>35890</v>
      </c>
      <c r="H382" s="10" t="n">
        <v>35890</v>
      </c>
      <c r="I382" s="11" t="s">
        <v>759</v>
      </c>
      <c r="J382" s="9" t="s">
        <v>760</v>
      </c>
      <c r="K382" s="9" t="s">
        <v>10</v>
      </c>
      <c r="L382" s="9" t="s">
        <v>5</v>
      </c>
      <c r="M382" s="9" t="n">
        <v>0</v>
      </c>
      <c r="N382" s="9" t="n">
        <v>1974</v>
      </c>
      <c r="O382" s="9" t="n">
        <v>37864</v>
      </c>
    </row>
    <row r="383" customFormat="false" ht="17.25" hidden="false" customHeight="false" outlineLevel="0" collapsed="false">
      <c r="B383" s="9" t="n">
        <v>903</v>
      </c>
      <c r="C383" s="9" t="s">
        <v>940</v>
      </c>
      <c r="D383" s="9" t="s">
        <v>757</v>
      </c>
      <c r="E383" s="9" t="s">
        <v>941</v>
      </c>
      <c r="F383" s="10" t="s">
        <v>58</v>
      </c>
      <c r="G383" s="10" t="n">
        <v>28340</v>
      </c>
      <c r="H383" s="10" t="n">
        <v>28340</v>
      </c>
      <c r="I383" s="11" t="s">
        <v>889</v>
      </c>
      <c r="J383" s="9" t="s">
        <v>734</v>
      </c>
      <c r="K383" s="9" t="s">
        <v>5</v>
      </c>
      <c r="L383" s="9" t="s">
        <v>13</v>
      </c>
      <c r="M383" s="9" t="n">
        <v>0</v>
      </c>
      <c r="N383" s="9" t="n">
        <v>1974</v>
      </c>
      <c r="O383" s="9" t="n">
        <v>30314</v>
      </c>
    </row>
    <row r="384" customFormat="false" ht="17.25" hidden="false" customHeight="false" outlineLevel="0" collapsed="false">
      <c r="B384" s="9" t="n">
        <v>928</v>
      </c>
      <c r="C384" s="9" t="s">
        <v>942</v>
      </c>
      <c r="D384" s="9" t="s">
        <v>846</v>
      </c>
      <c r="E384" s="9" t="s">
        <v>943</v>
      </c>
      <c r="F384" s="10" t="s">
        <v>299</v>
      </c>
      <c r="G384" s="10" t="n">
        <v>22750</v>
      </c>
      <c r="H384" s="10" t="n">
        <v>22750</v>
      </c>
      <c r="I384" s="11" t="s">
        <v>751</v>
      </c>
      <c r="J384" s="9" t="s">
        <v>752</v>
      </c>
      <c r="K384" s="9" t="s">
        <v>5</v>
      </c>
      <c r="L384" s="9" t="s">
        <v>5</v>
      </c>
      <c r="M384" s="9" t="n">
        <v>0</v>
      </c>
      <c r="N384" s="9" t="n">
        <v>1974</v>
      </c>
      <c r="O384" s="9" t="n">
        <v>24724</v>
      </c>
    </row>
    <row r="385" customFormat="false" ht="17.25" hidden="false" customHeight="false" outlineLevel="0" collapsed="false">
      <c r="B385" s="9" t="n">
        <v>929</v>
      </c>
      <c r="C385" s="9" t="s">
        <v>944</v>
      </c>
      <c r="D385" s="9" t="s">
        <v>766</v>
      </c>
      <c r="E385" s="9" t="s">
        <v>945</v>
      </c>
      <c r="F385" s="10" t="s">
        <v>61</v>
      </c>
      <c r="G385" s="10" t="n">
        <v>58780</v>
      </c>
      <c r="H385" s="10" t="n">
        <v>58780</v>
      </c>
      <c r="I385" s="11" t="s">
        <v>751</v>
      </c>
      <c r="J385" s="9" t="s">
        <v>752</v>
      </c>
      <c r="K385" s="9" t="s">
        <v>5</v>
      </c>
      <c r="L385" s="9" t="s">
        <v>7</v>
      </c>
      <c r="M385" s="9" t="n">
        <v>0</v>
      </c>
      <c r="N385" s="9" t="n">
        <v>1974</v>
      </c>
      <c r="O385" s="9" t="n">
        <v>60754</v>
      </c>
    </row>
    <row r="386" customFormat="false" ht="17.25" hidden="false" customHeight="false" outlineLevel="0" collapsed="false">
      <c r="B386" s="9" t="n">
        <v>991</v>
      </c>
      <c r="C386" s="9" t="s">
        <v>946</v>
      </c>
      <c r="D386" s="9" t="s">
        <v>787</v>
      </c>
      <c r="E386" s="9" t="s">
        <v>937</v>
      </c>
      <c r="F386" s="10" t="s">
        <v>299</v>
      </c>
      <c r="G386" s="10" t="n">
        <v>17910</v>
      </c>
      <c r="H386" s="10" t="n">
        <v>17910</v>
      </c>
      <c r="I386" s="11" t="s">
        <v>947</v>
      </c>
      <c r="J386" s="9" t="s">
        <v>760</v>
      </c>
      <c r="K386" s="9" t="s">
        <v>3</v>
      </c>
      <c r="L386" s="9" t="s">
        <v>13</v>
      </c>
      <c r="M386" s="9" t="n">
        <v>765.6525</v>
      </c>
      <c r="N386" s="9" t="n">
        <v>1414.1736</v>
      </c>
      <c r="O386" s="9" t="n">
        <v>20089.8261</v>
      </c>
    </row>
    <row r="387" customFormat="false" ht="17.25" hidden="false" customHeight="false" outlineLevel="0" collapsed="false">
      <c r="B387" s="9" t="n">
        <v>995</v>
      </c>
      <c r="C387" s="9" t="s">
        <v>948</v>
      </c>
      <c r="D387" s="9" t="s">
        <v>619</v>
      </c>
      <c r="E387" s="9" t="s">
        <v>949</v>
      </c>
      <c r="F387" s="10" t="s">
        <v>299</v>
      </c>
      <c r="G387" s="10" t="n">
        <v>18290</v>
      </c>
      <c r="H387" s="10" t="n">
        <v>18290</v>
      </c>
      <c r="I387" s="11" t="s">
        <v>839</v>
      </c>
      <c r="J387" s="9" t="s">
        <v>839</v>
      </c>
      <c r="K387" s="9" t="s">
        <v>3</v>
      </c>
      <c r="L387" s="9" t="s">
        <v>13</v>
      </c>
      <c r="M387" s="9" t="n">
        <v>781.8975</v>
      </c>
      <c r="N387" s="9" t="n">
        <v>1444.1784</v>
      </c>
      <c r="O387" s="9" t="n">
        <v>20516.0759</v>
      </c>
    </row>
    <row r="388" customFormat="false" ht="17.25" hidden="false" customHeight="false" outlineLevel="0" collapsed="false">
      <c r="B388" s="9" t="n">
        <v>1006</v>
      </c>
      <c r="C388" s="9" t="s">
        <v>950</v>
      </c>
      <c r="D388" s="9" t="s">
        <v>797</v>
      </c>
      <c r="E388" s="9" t="s">
        <v>951</v>
      </c>
      <c r="F388" s="10" t="s">
        <v>299</v>
      </c>
      <c r="G388" s="10" t="n">
        <v>19320</v>
      </c>
      <c r="H388" s="10" t="n">
        <v>19320</v>
      </c>
      <c r="I388" s="11" t="s">
        <v>947</v>
      </c>
      <c r="J388" s="9" t="s">
        <v>760</v>
      </c>
      <c r="K388" s="9" t="s">
        <v>3</v>
      </c>
      <c r="L388" s="9" t="s">
        <v>13</v>
      </c>
      <c r="M388" s="9" t="n">
        <v>825.93</v>
      </c>
      <c r="N388" s="9" t="n">
        <v>1525.5072</v>
      </c>
      <c r="O388" s="9" t="n">
        <v>21671.4372</v>
      </c>
    </row>
    <row r="389" customFormat="false" ht="17.25" hidden="false" customHeight="false" outlineLevel="0" collapsed="false">
      <c r="B389" s="9" t="n">
        <v>1040</v>
      </c>
      <c r="C389" s="9" t="s">
        <v>952</v>
      </c>
      <c r="D389" s="9" t="s">
        <v>953</v>
      </c>
      <c r="E389" s="9" t="s">
        <v>954</v>
      </c>
      <c r="F389" s="10" t="s">
        <v>331</v>
      </c>
      <c r="G389" s="10" t="n">
        <v>32800</v>
      </c>
      <c r="H389" s="10" t="n">
        <v>32800</v>
      </c>
      <c r="I389" s="11" t="s">
        <v>773</v>
      </c>
      <c r="J389" s="9" t="s">
        <v>773</v>
      </c>
      <c r="K389" s="9" t="s">
        <v>10</v>
      </c>
      <c r="L389" s="9" t="s">
        <v>10</v>
      </c>
      <c r="M389" s="9" t="n">
        <v>0</v>
      </c>
      <c r="N389" s="9" t="n">
        <v>1974</v>
      </c>
      <c r="O389" s="9" t="n">
        <v>34774</v>
      </c>
    </row>
    <row r="390" customFormat="false" ht="17.25" hidden="false" customHeight="false" outlineLevel="0" collapsed="false">
      <c r="B390" s="9" t="n">
        <v>1076</v>
      </c>
      <c r="C390" s="9" t="s">
        <v>955</v>
      </c>
      <c r="D390" s="9" t="s">
        <v>787</v>
      </c>
      <c r="E390" s="9" t="s">
        <v>601</v>
      </c>
      <c r="F390" s="10" t="s">
        <v>299</v>
      </c>
      <c r="G390" s="10" t="n">
        <v>21000</v>
      </c>
      <c r="H390" s="10" t="n">
        <v>21000</v>
      </c>
      <c r="I390" s="11" t="s">
        <v>773</v>
      </c>
      <c r="J390" s="9" t="s">
        <v>774</v>
      </c>
      <c r="K390" s="9" t="s">
        <v>10</v>
      </c>
      <c r="L390" s="9" t="s">
        <v>5</v>
      </c>
      <c r="M390" s="9" t="n">
        <v>897.75</v>
      </c>
      <c r="N390" s="9" t="n">
        <v>1658.16</v>
      </c>
      <c r="O390" s="9" t="n">
        <v>23555.91</v>
      </c>
    </row>
    <row r="391" customFormat="false" ht="17.25" hidden="false" customHeight="false" outlineLevel="0" collapsed="false">
      <c r="B391" s="9" t="n">
        <v>1098</v>
      </c>
      <c r="C391" s="9" t="s">
        <v>956</v>
      </c>
      <c r="D391" s="9" t="s">
        <v>584</v>
      </c>
      <c r="E391" s="9" t="s">
        <v>601</v>
      </c>
      <c r="F391" s="10" t="s">
        <v>109</v>
      </c>
      <c r="G391" s="10" t="n">
        <v>16350</v>
      </c>
      <c r="H391" s="10" t="n">
        <v>16350</v>
      </c>
      <c r="I391" s="11" t="s">
        <v>947</v>
      </c>
      <c r="J391" s="9" t="s">
        <v>760</v>
      </c>
      <c r="K391" s="9" t="s">
        <v>5</v>
      </c>
      <c r="L391" s="9" t="s">
        <v>13</v>
      </c>
      <c r="M391" s="9" t="n">
        <v>776.625</v>
      </c>
      <c r="N391" s="9" t="n">
        <v>1506.162</v>
      </c>
      <c r="O391" s="9" t="n">
        <v>18632.787</v>
      </c>
    </row>
    <row r="392" customFormat="false" ht="17.25" hidden="false" customHeight="false" outlineLevel="0" collapsed="false">
      <c r="B392" s="9" t="n">
        <v>1101</v>
      </c>
      <c r="C392" s="9" t="s">
        <v>957</v>
      </c>
      <c r="D392" s="9" t="s">
        <v>754</v>
      </c>
      <c r="E392" s="9" t="s">
        <v>958</v>
      </c>
      <c r="F392" s="10" t="s">
        <v>87</v>
      </c>
      <c r="G392" s="10" t="n">
        <v>32280</v>
      </c>
      <c r="H392" s="10" t="n">
        <v>32280</v>
      </c>
      <c r="I392" s="11" t="s">
        <v>876</v>
      </c>
      <c r="J392" s="9" t="s">
        <v>834</v>
      </c>
      <c r="K392" s="9" t="s">
        <v>10</v>
      </c>
      <c r="L392" s="9" t="s">
        <v>13</v>
      </c>
      <c r="M392" s="9" t="n">
        <v>0</v>
      </c>
      <c r="N392" s="9" t="n">
        <v>1974</v>
      </c>
      <c r="O392" s="9" t="n">
        <v>34254</v>
      </c>
    </row>
    <row r="393" customFormat="false" ht="17.25" hidden="false" customHeight="false" outlineLevel="0" collapsed="false">
      <c r="B393" s="9" t="n">
        <v>1158</v>
      </c>
      <c r="C393" s="9" t="s">
        <v>959</v>
      </c>
      <c r="D393" s="9" t="s">
        <v>615</v>
      </c>
      <c r="E393" s="9" t="s">
        <v>960</v>
      </c>
      <c r="F393" s="10" t="s">
        <v>109</v>
      </c>
      <c r="G393" s="10" t="n">
        <v>17260</v>
      </c>
      <c r="H393" s="10" t="n">
        <v>17260</v>
      </c>
      <c r="I393" s="11" t="s">
        <v>799</v>
      </c>
      <c r="J393" s="9" t="s">
        <v>739</v>
      </c>
      <c r="K393" s="9" t="s">
        <v>10</v>
      </c>
      <c r="L393" s="9" t="s">
        <v>3</v>
      </c>
      <c r="M393" s="9" t="n">
        <v>737.865</v>
      </c>
      <c r="N393" s="9" t="n">
        <v>1362.8496</v>
      </c>
      <c r="O393" s="9" t="n">
        <v>19360.7146</v>
      </c>
    </row>
    <row r="394" customFormat="false" ht="17.25" hidden="false" customHeight="false" outlineLevel="0" collapsed="false">
      <c r="B394" s="9" t="n">
        <v>1193</v>
      </c>
      <c r="C394" s="9" t="s">
        <v>961</v>
      </c>
      <c r="D394" s="9" t="s">
        <v>732</v>
      </c>
      <c r="E394" s="9" t="n">
        <v>39972</v>
      </c>
      <c r="F394" s="10" t="s">
        <v>64</v>
      </c>
      <c r="G394" s="10" t="n">
        <v>44720</v>
      </c>
      <c r="H394" s="10" t="n">
        <v>44720</v>
      </c>
      <c r="I394" s="11" t="s">
        <v>804</v>
      </c>
      <c r="J394" s="9" t="s">
        <v>743</v>
      </c>
      <c r="K394" s="9" t="s">
        <v>5</v>
      </c>
      <c r="L394" s="9" t="s">
        <v>10</v>
      </c>
      <c r="M394" s="9" t="n">
        <v>0</v>
      </c>
      <c r="N394" s="9" t="n">
        <v>1974</v>
      </c>
      <c r="O394" s="9" t="n">
        <v>46694</v>
      </c>
    </row>
    <row r="395" customFormat="false" ht="17.25" hidden="false" customHeight="false" outlineLevel="0" collapsed="false">
      <c r="B395" s="9" t="n">
        <v>1199</v>
      </c>
      <c r="C395" s="9" t="s">
        <v>962</v>
      </c>
      <c r="D395" s="9" t="s">
        <v>811</v>
      </c>
      <c r="E395" s="9" t="s">
        <v>963</v>
      </c>
      <c r="F395" s="10" t="s">
        <v>58</v>
      </c>
      <c r="G395" s="10" t="n">
        <v>31220</v>
      </c>
      <c r="H395" s="10" t="n">
        <v>31220</v>
      </c>
      <c r="I395" s="11" t="s">
        <v>759</v>
      </c>
      <c r="J395" s="9" t="s">
        <v>760</v>
      </c>
      <c r="K395" s="9" t="s">
        <v>8</v>
      </c>
      <c r="L395" s="9" t="s">
        <v>8</v>
      </c>
      <c r="M395" s="9" t="n">
        <v>0</v>
      </c>
      <c r="N395" s="9" t="n">
        <v>1974</v>
      </c>
      <c r="O395" s="9" t="n">
        <v>33194</v>
      </c>
    </row>
    <row r="396" customFormat="false" ht="17.25" hidden="false" customHeight="false" outlineLevel="0" collapsed="false">
      <c r="B396" s="9" t="n">
        <v>1211</v>
      </c>
      <c r="C396" s="9" t="s">
        <v>964</v>
      </c>
      <c r="D396" s="9" t="s">
        <v>965</v>
      </c>
      <c r="E396" s="9" t="s">
        <v>943</v>
      </c>
      <c r="F396" s="10" t="s">
        <v>87</v>
      </c>
      <c r="G396" s="10" t="n">
        <v>25620</v>
      </c>
      <c r="H396" s="10" t="n">
        <v>25620</v>
      </c>
      <c r="I396" s="11" t="s">
        <v>799</v>
      </c>
      <c r="J396" s="9" t="s">
        <v>739</v>
      </c>
      <c r="K396" s="9" t="s">
        <v>8</v>
      </c>
      <c r="L396" s="9" t="s">
        <v>8</v>
      </c>
      <c r="M396" s="9" t="n">
        <v>0</v>
      </c>
      <c r="N396" s="9" t="n">
        <v>1974</v>
      </c>
      <c r="O396" s="9" t="n">
        <v>27594</v>
      </c>
    </row>
    <row r="397" customFormat="false" ht="17.25" hidden="false" customHeight="false" outlineLevel="0" collapsed="false">
      <c r="B397" s="9" t="n">
        <v>1254</v>
      </c>
      <c r="C397" s="9" t="s">
        <v>966</v>
      </c>
      <c r="D397" s="9" t="s">
        <v>967</v>
      </c>
      <c r="E397" s="9" t="s">
        <v>968</v>
      </c>
      <c r="F397" s="10" t="s">
        <v>331</v>
      </c>
      <c r="G397" s="10" t="n">
        <v>23300</v>
      </c>
      <c r="H397" s="10" t="n">
        <v>23300</v>
      </c>
      <c r="I397" s="11" t="s">
        <v>773</v>
      </c>
      <c r="J397" s="9" t="s">
        <v>773</v>
      </c>
      <c r="K397" s="9" t="s">
        <v>10</v>
      </c>
      <c r="L397" s="9" t="s">
        <v>10</v>
      </c>
      <c r="M397" s="9" t="n">
        <v>996.075</v>
      </c>
      <c r="N397" s="9" t="n">
        <v>1839.768</v>
      </c>
      <c r="O397" s="9" t="n">
        <v>26135.843</v>
      </c>
    </row>
    <row r="398" customFormat="false" ht="17.25" hidden="false" customHeight="false" outlineLevel="0" collapsed="false">
      <c r="B398" s="9" t="n">
        <v>1259</v>
      </c>
      <c r="C398" s="9" t="s">
        <v>969</v>
      </c>
      <c r="D398" s="9" t="s">
        <v>970</v>
      </c>
      <c r="E398" s="9" t="s">
        <v>971</v>
      </c>
      <c r="F398" s="10" t="s">
        <v>64</v>
      </c>
      <c r="G398" s="10" t="n">
        <v>42000</v>
      </c>
      <c r="H398" s="10" t="n">
        <v>42000</v>
      </c>
      <c r="I398" s="11" t="s">
        <v>751</v>
      </c>
      <c r="J398" s="9" t="s">
        <v>752</v>
      </c>
      <c r="K398" s="9" t="s">
        <v>10</v>
      </c>
      <c r="L398" s="9" t="s">
        <v>844</v>
      </c>
      <c r="M398" s="9" t="n">
        <v>0</v>
      </c>
      <c r="N398" s="9" t="n">
        <v>1974</v>
      </c>
      <c r="O398" s="9" t="n">
        <v>43974</v>
      </c>
    </row>
    <row r="399" customFormat="false" ht="17.25" hidden="false" customHeight="false" outlineLevel="0" collapsed="false">
      <c r="B399" s="9" t="n">
        <v>1261</v>
      </c>
      <c r="C399" s="9" t="s">
        <v>972</v>
      </c>
      <c r="D399" s="9" t="s">
        <v>732</v>
      </c>
      <c r="E399" s="9" t="s">
        <v>973</v>
      </c>
      <c r="F399" s="10" t="s">
        <v>64</v>
      </c>
      <c r="G399" s="10" t="n">
        <v>42390</v>
      </c>
      <c r="H399" s="10" t="n">
        <v>42390</v>
      </c>
      <c r="I399" s="11" t="s">
        <v>876</v>
      </c>
      <c r="J399" s="9" t="s">
        <v>834</v>
      </c>
      <c r="K399" s="9" t="s">
        <v>3</v>
      </c>
      <c r="L399" s="9" t="s">
        <v>13</v>
      </c>
      <c r="M399" s="9" t="n">
        <v>0</v>
      </c>
      <c r="N399" s="9" t="n">
        <v>1974</v>
      </c>
      <c r="O399" s="9" t="n">
        <v>44364</v>
      </c>
    </row>
    <row r="400" customFormat="false" ht="17.25" hidden="false" customHeight="false" outlineLevel="0" collapsed="false">
      <c r="B400" s="9" t="n">
        <v>1280</v>
      </c>
      <c r="C400" s="9" t="s">
        <v>974</v>
      </c>
      <c r="D400" s="9" t="s">
        <v>975</v>
      </c>
      <c r="E400" s="9" t="s">
        <v>976</v>
      </c>
      <c r="F400" s="10" t="s">
        <v>87</v>
      </c>
      <c r="G400" s="10" t="n">
        <v>22740</v>
      </c>
      <c r="H400" s="10" t="n">
        <v>22740</v>
      </c>
      <c r="I400" s="11" t="s">
        <v>762</v>
      </c>
      <c r="J400" s="9" t="s">
        <v>688</v>
      </c>
      <c r="K400" s="9" t="s">
        <v>5</v>
      </c>
      <c r="L400" s="9" t="s">
        <v>5</v>
      </c>
      <c r="M400" s="9" t="n">
        <v>0</v>
      </c>
      <c r="N400" s="9" t="n">
        <v>1974</v>
      </c>
      <c r="O400" s="9" t="n">
        <v>24714</v>
      </c>
    </row>
    <row r="401" customFormat="false" ht="17.25" hidden="false" customHeight="false" outlineLevel="0" collapsed="false">
      <c r="B401" s="9" t="n">
        <v>1302</v>
      </c>
      <c r="C401" s="9" t="s">
        <v>977</v>
      </c>
      <c r="D401" s="9" t="s">
        <v>619</v>
      </c>
      <c r="E401" s="9" t="s">
        <v>978</v>
      </c>
      <c r="F401" s="10" t="s">
        <v>299</v>
      </c>
      <c r="G401" s="10" t="n">
        <v>22600</v>
      </c>
      <c r="H401" s="10" t="n">
        <v>22600</v>
      </c>
      <c r="I401" s="11" t="s">
        <v>699</v>
      </c>
      <c r="J401" s="9" t="s">
        <v>734</v>
      </c>
      <c r="K401" s="9" t="s">
        <v>4</v>
      </c>
      <c r="L401" s="9" t="s">
        <v>4</v>
      </c>
      <c r="M401" s="9" t="n">
        <v>966.15</v>
      </c>
      <c r="N401" s="9" t="n">
        <v>1784.496</v>
      </c>
      <c r="O401" s="9" t="n">
        <v>25350.646</v>
      </c>
    </row>
    <row r="402" customFormat="false" ht="17.25" hidden="false" customHeight="false" outlineLevel="0" collapsed="false">
      <c r="B402" s="9" t="n">
        <v>1345</v>
      </c>
      <c r="C402" s="9" t="s">
        <v>979</v>
      </c>
      <c r="D402" s="9" t="s">
        <v>574</v>
      </c>
      <c r="E402" s="9" t="s">
        <v>980</v>
      </c>
      <c r="F402" s="10" t="s">
        <v>58</v>
      </c>
      <c r="G402" s="10" t="n">
        <v>35210</v>
      </c>
      <c r="H402" s="10" t="n">
        <v>35210</v>
      </c>
      <c r="I402" s="11" t="s">
        <v>795</v>
      </c>
      <c r="J402" s="9" t="s">
        <v>734</v>
      </c>
      <c r="K402" s="9" t="s">
        <v>4</v>
      </c>
      <c r="L402" s="9" t="s">
        <v>13</v>
      </c>
      <c r="M402" s="9" t="n">
        <v>0</v>
      </c>
      <c r="N402" s="9" t="n">
        <v>1974</v>
      </c>
      <c r="O402" s="9" t="n">
        <v>37184</v>
      </c>
    </row>
    <row r="403" customFormat="false" ht="17.25" hidden="false" customHeight="false" outlineLevel="0" collapsed="false">
      <c r="B403" s="9" t="n">
        <v>1368</v>
      </c>
      <c r="C403" s="9" t="s">
        <v>981</v>
      </c>
      <c r="D403" s="9" t="s">
        <v>982</v>
      </c>
      <c r="E403" s="9" t="s">
        <v>983</v>
      </c>
      <c r="F403" s="10" t="s">
        <v>331</v>
      </c>
      <c r="G403" s="10" t="n">
        <v>12470</v>
      </c>
      <c r="H403" s="10" t="n">
        <v>12470</v>
      </c>
      <c r="I403" s="11" t="s">
        <v>984</v>
      </c>
      <c r="J403" s="9" t="s">
        <v>743</v>
      </c>
      <c r="K403" s="9" t="s">
        <v>10</v>
      </c>
      <c r="L403" s="9" t="s">
        <v>10</v>
      </c>
      <c r="M403" s="9" t="n">
        <v>533.0925</v>
      </c>
      <c r="N403" s="9" t="n">
        <v>984.6312</v>
      </c>
      <c r="O403" s="9" t="n">
        <v>13987.7237</v>
      </c>
    </row>
    <row r="404" customFormat="false" ht="17.25" hidden="false" customHeight="false" outlineLevel="0" collapsed="false">
      <c r="B404" s="9" t="n">
        <v>1379</v>
      </c>
      <c r="C404" s="9" t="s">
        <v>985</v>
      </c>
      <c r="D404" s="9" t="s">
        <v>754</v>
      </c>
      <c r="E404" s="9" t="s">
        <v>986</v>
      </c>
      <c r="F404" s="10" t="s">
        <v>58</v>
      </c>
      <c r="G404" s="10" t="n">
        <v>27950</v>
      </c>
      <c r="H404" s="10" t="n">
        <v>27950</v>
      </c>
      <c r="I404" s="11" t="s">
        <v>861</v>
      </c>
      <c r="J404" s="9" t="s">
        <v>760</v>
      </c>
      <c r="K404" s="9" t="s">
        <v>10</v>
      </c>
      <c r="L404" s="9" t="s">
        <v>13</v>
      </c>
      <c r="M404" s="9" t="n">
        <v>0</v>
      </c>
      <c r="N404" s="9" t="n">
        <v>1974</v>
      </c>
      <c r="O404" s="9" t="n">
        <v>29924</v>
      </c>
    </row>
    <row r="405" customFormat="false" ht="17.25" hidden="false" customHeight="false" outlineLevel="0" collapsed="false">
      <c r="B405" s="9" t="n">
        <v>1385</v>
      </c>
      <c r="C405" s="9" t="s">
        <v>987</v>
      </c>
      <c r="D405" s="9" t="s">
        <v>619</v>
      </c>
      <c r="E405" s="9" t="n">
        <v>40360</v>
      </c>
      <c r="F405" s="10" t="s">
        <v>299</v>
      </c>
      <c r="G405" s="10" t="n">
        <v>18740</v>
      </c>
      <c r="H405" s="10" t="n">
        <v>18740</v>
      </c>
      <c r="I405" s="11" t="s">
        <v>804</v>
      </c>
      <c r="J405" s="9" t="s">
        <v>743</v>
      </c>
      <c r="K405" s="9" t="s">
        <v>5</v>
      </c>
      <c r="L405" s="9" t="s">
        <v>5</v>
      </c>
      <c r="M405" s="9" t="n">
        <v>890.15</v>
      </c>
      <c r="N405" s="9" t="n">
        <v>1726.3288</v>
      </c>
      <c r="O405" s="9" t="n">
        <v>21356.4788</v>
      </c>
    </row>
    <row r="406" customFormat="false" ht="17.25" hidden="false" customHeight="false" outlineLevel="0" collapsed="false">
      <c r="B406" s="9" t="n">
        <v>1399</v>
      </c>
      <c r="C406" s="9" t="s">
        <v>988</v>
      </c>
      <c r="D406" s="9" t="s">
        <v>584</v>
      </c>
      <c r="E406" s="9" t="s">
        <v>116</v>
      </c>
      <c r="F406" s="10" t="s">
        <v>109</v>
      </c>
      <c r="G406" s="10" t="n">
        <v>13810</v>
      </c>
      <c r="H406" s="10" t="n">
        <v>13810</v>
      </c>
      <c r="I406" s="11" t="s">
        <v>799</v>
      </c>
      <c r="J406" s="9" t="s">
        <v>739</v>
      </c>
      <c r="K406" s="9" t="s">
        <v>10</v>
      </c>
      <c r="L406" s="9" t="s">
        <v>10</v>
      </c>
      <c r="M406" s="9" t="n">
        <v>590.3775</v>
      </c>
      <c r="N406" s="9" t="n">
        <v>1090.4376</v>
      </c>
      <c r="O406" s="9" t="n">
        <v>15490.8151</v>
      </c>
    </row>
    <row r="407" customFormat="false" ht="17.25" hidden="false" customHeight="false" outlineLevel="0" collapsed="false">
      <c r="B407" s="9" t="n">
        <v>1413</v>
      </c>
      <c r="C407" s="9" t="s">
        <v>989</v>
      </c>
      <c r="D407" s="9" t="s">
        <v>619</v>
      </c>
      <c r="E407" s="9" t="s">
        <v>990</v>
      </c>
      <c r="F407" s="10" t="s">
        <v>87</v>
      </c>
      <c r="G407" s="10" t="n">
        <v>24190</v>
      </c>
      <c r="H407" s="10" t="n">
        <v>24190</v>
      </c>
      <c r="I407" s="11" t="s">
        <v>839</v>
      </c>
      <c r="J407" s="9" t="s">
        <v>839</v>
      </c>
      <c r="K407" s="9" t="s">
        <v>10</v>
      </c>
      <c r="L407" s="9" t="s">
        <v>10</v>
      </c>
      <c r="M407" s="9" t="n">
        <v>0</v>
      </c>
      <c r="N407" s="9" t="n">
        <v>1910.0424</v>
      </c>
      <c r="O407" s="9" t="n">
        <v>26100.0424</v>
      </c>
    </row>
    <row r="408" customFormat="false" ht="17.25" hidden="false" customHeight="false" outlineLevel="0" collapsed="false">
      <c r="B408" s="9" t="n">
        <v>1421</v>
      </c>
      <c r="C408" s="9" t="s">
        <v>991</v>
      </c>
      <c r="D408" s="9" t="s">
        <v>992</v>
      </c>
      <c r="E408" s="9" t="s">
        <v>63</v>
      </c>
      <c r="F408" s="10" t="s">
        <v>299</v>
      </c>
      <c r="G408" s="10" t="n">
        <v>22020</v>
      </c>
      <c r="H408" s="10" t="n">
        <v>22020</v>
      </c>
      <c r="I408" s="11" t="s">
        <v>773</v>
      </c>
      <c r="J408" s="9" t="s">
        <v>773</v>
      </c>
      <c r="K408" s="9" t="s">
        <v>3</v>
      </c>
      <c r="L408" s="9" t="s">
        <v>3</v>
      </c>
      <c r="M408" s="9" t="n">
        <v>941.355</v>
      </c>
      <c r="N408" s="9" t="n">
        <v>1738.6992</v>
      </c>
      <c r="O408" s="9" t="n">
        <v>24700.0542</v>
      </c>
    </row>
    <row r="409" customFormat="false" ht="17.25" hidden="false" customHeight="false" outlineLevel="0" collapsed="false">
      <c r="B409" s="9" t="n">
        <v>1424</v>
      </c>
      <c r="C409" s="9" t="s">
        <v>993</v>
      </c>
      <c r="D409" s="9" t="s">
        <v>619</v>
      </c>
      <c r="E409" s="9" t="s">
        <v>994</v>
      </c>
      <c r="F409" s="10" t="s">
        <v>299</v>
      </c>
      <c r="G409" s="10" t="n">
        <v>20020</v>
      </c>
      <c r="H409" s="10" t="n">
        <v>20020</v>
      </c>
      <c r="I409" s="11" t="s">
        <v>699</v>
      </c>
      <c r="J409" s="9" t="s">
        <v>734</v>
      </c>
      <c r="K409" s="9" t="s">
        <v>8</v>
      </c>
      <c r="L409" s="9" t="s">
        <v>8</v>
      </c>
      <c r="M409" s="9" t="n">
        <v>855.855</v>
      </c>
      <c r="N409" s="9" t="n">
        <v>1580.7792</v>
      </c>
      <c r="O409" s="9" t="n">
        <v>22456.6342</v>
      </c>
    </row>
    <row r="410" customFormat="false" ht="17.25" hidden="false" customHeight="false" outlineLevel="0" collapsed="false">
      <c r="B410" s="9" t="n">
        <v>1435</v>
      </c>
      <c r="C410" s="9" t="s">
        <v>995</v>
      </c>
      <c r="D410" s="9" t="s">
        <v>619</v>
      </c>
      <c r="E410" s="9" t="s">
        <v>996</v>
      </c>
      <c r="F410" s="10" t="s">
        <v>87</v>
      </c>
      <c r="G410" s="10" t="n">
        <v>26140</v>
      </c>
      <c r="H410" s="10" t="n">
        <v>26140</v>
      </c>
      <c r="I410" s="11" t="s">
        <v>759</v>
      </c>
      <c r="J410" s="9" t="s">
        <v>760</v>
      </c>
      <c r="K410" s="9" t="s">
        <v>10</v>
      </c>
      <c r="L410" s="9" t="s">
        <v>10</v>
      </c>
      <c r="M410" s="9" t="n">
        <v>0</v>
      </c>
      <c r="N410" s="9" t="n">
        <v>1974</v>
      </c>
      <c r="O410" s="9" t="n">
        <v>28114</v>
      </c>
    </row>
    <row r="411" customFormat="false" ht="17.25" hidden="false" customHeight="false" outlineLevel="0" collapsed="false">
      <c r="B411" s="9" t="n">
        <v>1437</v>
      </c>
      <c r="C411" s="9" t="s">
        <v>997</v>
      </c>
      <c r="D411" s="9" t="s">
        <v>785</v>
      </c>
      <c r="E411" s="9" t="s">
        <v>63</v>
      </c>
      <c r="F411" s="10" t="s">
        <v>87</v>
      </c>
      <c r="G411" s="10" t="n">
        <v>20530</v>
      </c>
      <c r="H411" s="10" t="n">
        <v>20530</v>
      </c>
      <c r="I411" s="11" t="s">
        <v>998</v>
      </c>
      <c r="J411" s="9" t="s">
        <v>999</v>
      </c>
      <c r="K411" s="9" t="s">
        <v>5</v>
      </c>
      <c r="L411" s="9" t="s">
        <v>13</v>
      </c>
      <c r="M411" s="9" t="n">
        <v>975.175</v>
      </c>
      <c r="N411" s="9" t="n">
        <v>1891.2236</v>
      </c>
      <c r="O411" s="9" t="n">
        <v>23396.3986</v>
      </c>
    </row>
    <row r="412" customFormat="false" ht="17.25" hidden="false" customHeight="false" outlineLevel="0" collapsed="false">
      <c r="B412" s="9" t="n">
        <v>1454</v>
      </c>
      <c r="C412" s="9" t="s">
        <v>1000</v>
      </c>
      <c r="D412" s="9" t="s">
        <v>967</v>
      </c>
      <c r="E412" s="9" t="s">
        <v>1001</v>
      </c>
      <c r="F412" s="10" t="s">
        <v>331</v>
      </c>
      <c r="G412" s="10" t="n">
        <v>21670</v>
      </c>
      <c r="H412" s="10" t="n">
        <v>21670</v>
      </c>
      <c r="I412" s="11" t="s">
        <v>773</v>
      </c>
      <c r="J412" s="9" t="s">
        <v>773</v>
      </c>
      <c r="K412" s="9" t="s">
        <v>10</v>
      </c>
      <c r="L412" s="9" t="s">
        <v>10</v>
      </c>
      <c r="M412" s="9" t="n">
        <v>926.3925</v>
      </c>
      <c r="N412" s="9" t="n">
        <v>1711.0632</v>
      </c>
      <c r="O412" s="9" t="n">
        <v>24307.4557</v>
      </c>
    </row>
    <row r="413" customFormat="false" ht="17.25" hidden="false" customHeight="false" outlineLevel="0" collapsed="false">
      <c r="B413" s="9" t="n">
        <v>1477</v>
      </c>
      <c r="C413" s="9" t="s">
        <v>1002</v>
      </c>
      <c r="D413" s="9" t="s">
        <v>1003</v>
      </c>
      <c r="E413" s="9" t="n">
        <v>40296</v>
      </c>
      <c r="F413" s="10" t="s">
        <v>58</v>
      </c>
      <c r="G413" s="10" t="n">
        <v>29600</v>
      </c>
      <c r="H413" s="10" t="n">
        <v>29600</v>
      </c>
      <c r="I413" s="11" t="s">
        <v>925</v>
      </c>
      <c r="J413" s="9" t="s">
        <v>926</v>
      </c>
      <c r="K413" s="9" t="s">
        <v>5</v>
      </c>
      <c r="L413" s="9" t="s">
        <v>13</v>
      </c>
      <c r="M413" s="9" t="n">
        <v>0</v>
      </c>
      <c r="N413" s="9" t="n">
        <v>1974</v>
      </c>
      <c r="O413" s="9" t="n">
        <v>31574</v>
      </c>
    </row>
    <row r="414" customFormat="false" ht="17.25" hidden="false" customHeight="false" outlineLevel="0" collapsed="false">
      <c r="B414" s="9" t="n">
        <v>1507</v>
      </c>
      <c r="C414" s="9" t="s">
        <v>1004</v>
      </c>
      <c r="D414" s="9" t="s">
        <v>898</v>
      </c>
      <c r="E414" s="9" t="s">
        <v>1005</v>
      </c>
      <c r="F414" s="10" t="s">
        <v>58</v>
      </c>
      <c r="G414" s="10" t="n">
        <v>30860</v>
      </c>
      <c r="H414" s="10" t="n">
        <v>30860</v>
      </c>
      <c r="I414" s="11" t="s">
        <v>699</v>
      </c>
      <c r="J414" s="9" t="s">
        <v>734</v>
      </c>
      <c r="K414" s="9" t="s">
        <v>10</v>
      </c>
      <c r="L414" s="9" t="s">
        <v>8</v>
      </c>
      <c r="M414" s="9" t="n">
        <v>0</v>
      </c>
      <c r="N414" s="9" t="n">
        <v>1974</v>
      </c>
      <c r="O414" s="9" t="n">
        <v>32834</v>
      </c>
    </row>
    <row r="415" customFormat="false" ht="17.25" hidden="false" customHeight="false" outlineLevel="0" collapsed="false">
      <c r="B415" s="9" t="n">
        <v>1528</v>
      </c>
      <c r="C415" s="9" t="s">
        <v>1006</v>
      </c>
      <c r="D415" s="9" t="s">
        <v>1007</v>
      </c>
      <c r="E415" s="9" t="s">
        <v>1008</v>
      </c>
      <c r="F415" s="10" t="s">
        <v>109</v>
      </c>
      <c r="G415" s="10" t="n">
        <v>14890</v>
      </c>
      <c r="H415" s="10" t="n">
        <v>14890</v>
      </c>
      <c r="I415" s="11" t="s">
        <v>799</v>
      </c>
      <c r="J415" s="9" t="s">
        <v>739</v>
      </c>
      <c r="K415" s="9" t="s">
        <v>5</v>
      </c>
      <c r="L415" s="9" t="s">
        <v>10</v>
      </c>
      <c r="M415" s="9" t="n">
        <v>707.275</v>
      </c>
      <c r="N415" s="9" t="n">
        <v>1371.6668</v>
      </c>
      <c r="O415" s="9" t="n">
        <v>16968.9418</v>
      </c>
    </row>
    <row r="416" customFormat="false" ht="17.25" hidden="false" customHeight="false" outlineLevel="0" collapsed="false">
      <c r="B416" s="9" t="n">
        <v>1540</v>
      </c>
      <c r="C416" s="9" t="s">
        <v>1009</v>
      </c>
      <c r="D416" s="9" t="s">
        <v>898</v>
      </c>
      <c r="E416" s="9" t="s">
        <v>1010</v>
      </c>
      <c r="F416" s="10" t="s">
        <v>58</v>
      </c>
      <c r="G416" s="10" t="n">
        <v>26370</v>
      </c>
      <c r="H416" s="10" t="n">
        <v>26370</v>
      </c>
      <c r="I416" s="11" t="s">
        <v>839</v>
      </c>
      <c r="J416" s="9" t="s">
        <v>839</v>
      </c>
      <c r="K416" s="9" t="s">
        <v>10</v>
      </c>
      <c r="L416" s="9" t="s">
        <v>13</v>
      </c>
      <c r="M416" s="9" t="n">
        <v>0</v>
      </c>
      <c r="N416" s="9" t="n">
        <v>1974</v>
      </c>
      <c r="O416" s="9" t="n">
        <v>28344</v>
      </c>
    </row>
    <row r="417" customFormat="false" ht="17.25" hidden="false" customHeight="false" outlineLevel="0" collapsed="false">
      <c r="B417" s="9" t="n">
        <v>1559</v>
      </c>
      <c r="C417" s="9" t="s">
        <v>1011</v>
      </c>
      <c r="D417" s="9" t="s">
        <v>820</v>
      </c>
      <c r="E417" s="9" t="s">
        <v>1012</v>
      </c>
      <c r="F417" s="10" t="s">
        <v>61</v>
      </c>
      <c r="G417" s="10" t="n">
        <v>54110</v>
      </c>
      <c r="H417" s="10" t="n">
        <v>54110</v>
      </c>
      <c r="I417" s="11" t="s">
        <v>738</v>
      </c>
      <c r="J417" s="9" t="s">
        <v>739</v>
      </c>
      <c r="K417" s="9" t="s">
        <v>10</v>
      </c>
      <c r="L417" s="9" t="s">
        <v>13</v>
      </c>
      <c r="M417" s="9" t="n">
        <v>0</v>
      </c>
      <c r="N417" s="9" t="n">
        <v>1974</v>
      </c>
      <c r="O417" s="9" t="n">
        <v>56084</v>
      </c>
    </row>
    <row r="418" customFormat="false" ht="17.25" hidden="false" customHeight="false" outlineLevel="0" collapsed="false">
      <c r="B418" s="9" t="n">
        <v>1560</v>
      </c>
      <c r="C418" s="9" t="s">
        <v>1013</v>
      </c>
      <c r="D418" s="9" t="s">
        <v>787</v>
      </c>
      <c r="E418" s="9" t="s">
        <v>1014</v>
      </c>
      <c r="F418" s="10" t="s">
        <v>109</v>
      </c>
      <c r="G418" s="10" t="n">
        <v>17500</v>
      </c>
      <c r="H418" s="10" t="n">
        <v>17500</v>
      </c>
      <c r="I418" s="11" t="s">
        <v>1015</v>
      </c>
      <c r="J418" s="9" t="s">
        <v>999</v>
      </c>
      <c r="K418" s="9" t="s">
        <v>10</v>
      </c>
      <c r="L418" s="9" t="s">
        <v>13</v>
      </c>
      <c r="M418" s="9" t="n">
        <v>748.125</v>
      </c>
      <c r="N418" s="9" t="n">
        <v>1381.8</v>
      </c>
      <c r="O418" s="9" t="n">
        <v>19629.925</v>
      </c>
    </row>
    <row r="419" customFormat="false" ht="17.25" hidden="false" customHeight="false" outlineLevel="0" collapsed="false">
      <c r="B419" s="9" t="n">
        <v>1561</v>
      </c>
      <c r="C419" s="9" t="s">
        <v>1016</v>
      </c>
      <c r="D419" s="9" t="s">
        <v>1017</v>
      </c>
      <c r="E419" s="9" t="s">
        <v>1012</v>
      </c>
      <c r="F419" s="10" t="s">
        <v>331</v>
      </c>
      <c r="G419" s="10" t="n">
        <v>12620</v>
      </c>
      <c r="H419" s="10" t="n">
        <v>12620</v>
      </c>
      <c r="I419" s="11" t="s">
        <v>984</v>
      </c>
      <c r="J419" s="9" t="s">
        <v>743</v>
      </c>
      <c r="K419" s="9" t="s">
        <v>10</v>
      </c>
      <c r="L419" s="9" t="s">
        <v>10</v>
      </c>
      <c r="M419" s="9" t="n">
        <v>539.505</v>
      </c>
      <c r="N419" s="9" t="n">
        <v>996.4752</v>
      </c>
      <c r="O419" s="9" t="n">
        <v>14155.9802</v>
      </c>
    </row>
    <row r="420" customFormat="false" ht="17.25" hidden="false" customHeight="false" outlineLevel="0" collapsed="false">
      <c r="B420" s="9" t="n">
        <v>1573</v>
      </c>
      <c r="C420" s="9" t="s">
        <v>1018</v>
      </c>
      <c r="D420" s="9" t="s">
        <v>787</v>
      </c>
      <c r="E420" s="9" t="s">
        <v>141</v>
      </c>
      <c r="F420" s="10" t="s">
        <v>299</v>
      </c>
      <c r="G420" s="10" t="n">
        <v>24420</v>
      </c>
      <c r="H420" s="10" t="n">
        <v>24420</v>
      </c>
      <c r="I420" s="11" t="s">
        <v>773</v>
      </c>
      <c r="J420" s="9" t="s">
        <v>774</v>
      </c>
      <c r="K420" s="9" t="s">
        <v>10</v>
      </c>
      <c r="L420" s="9" t="s">
        <v>10</v>
      </c>
      <c r="M420" s="9" t="n">
        <v>0</v>
      </c>
      <c r="N420" s="9" t="n">
        <v>1928.2032</v>
      </c>
      <c r="O420" s="9" t="n">
        <v>26348.2032</v>
      </c>
    </row>
    <row r="421" customFormat="false" ht="17.25" hidden="false" customHeight="false" outlineLevel="0" collapsed="false">
      <c r="B421" s="9" t="n">
        <v>1578</v>
      </c>
      <c r="C421" s="9" t="s">
        <v>1019</v>
      </c>
      <c r="D421" s="9" t="s">
        <v>766</v>
      </c>
      <c r="E421" s="9" t="s">
        <v>1020</v>
      </c>
      <c r="F421" s="10" t="s">
        <v>61</v>
      </c>
      <c r="G421" s="10" t="n">
        <v>69560</v>
      </c>
      <c r="H421" s="10" t="n">
        <v>69560</v>
      </c>
      <c r="I421" s="11" t="s">
        <v>1021</v>
      </c>
      <c r="J421" s="9" t="s">
        <v>1021</v>
      </c>
      <c r="K421" s="9" t="s">
        <v>3</v>
      </c>
      <c r="L421" s="9" t="s">
        <v>13</v>
      </c>
      <c r="M421" s="9" t="n">
        <v>0</v>
      </c>
      <c r="N421" s="9" t="n">
        <v>1974</v>
      </c>
      <c r="O421" s="9" t="n">
        <v>71534</v>
      </c>
    </row>
    <row r="422" customFormat="false" ht="17.25" hidden="false" customHeight="false" outlineLevel="0" collapsed="false">
      <c r="B422" s="9" t="n">
        <v>1613</v>
      </c>
      <c r="C422" s="9" t="s">
        <v>1022</v>
      </c>
      <c r="D422" s="9" t="s">
        <v>619</v>
      </c>
      <c r="E422" s="9" t="s">
        <v>141</v>
      </c>
      <c r="F422" s="10" t="s">
        <v>299</v>
      </c>
      <c r="G422" s="10" t="n">
        <v>20400</v>
      </c>
      <c r="H422" s="10" t="n">
        <v>20400</v>
      </c>
      <c r="I422" s="11" t="s">
        <v>699</v>
      </c>
      <c r="J422" s="9" t="s">
        <v>734</v>
      </c>
      <c r="K422" s="9" t="s">
        <v>10</v>
      </c>
      <c r="L422" s="9" t="s">
        <v>10</v>
      </c>
      <c r="M422" s="9" t="n">
        <v>872.1</v>
      </c>
      <c r="N422" s="9" t="n">
        <v>1610.784</v>
      </c>
      <c r="O422" s="9" t="n">
        <v>22882.884</v>
      </c>
    </row>
    <row r="423" customFormat="false" ht="17.25" hidden="false" customHeight="false" outlineLevel="0" collapsed="false">
      <c r="B423" s="9" t="n">
        <v>1619</v>
      </c>
      <c r="C423" s="9" t="s">
        <v>1023</v>
      </c>
      <c r="D423" s="9" t="s">
        <v>619</v>
      </c>
      <c r="E423" s="9" t="s">
        <v>141</v>
      </c>
      <c r="F423" s="10" t="s">
        <v>87</v>
      </c>
      <c r="G423" s="10" t="n">
        <v>29750</v>
      </c>
      <c r="H423" s="10" t="n">
        <v>29750</v>
      </c>
      <c r="I423" s="11" t="s">
        <v>762</v>
      </c>
      <c r="J423" s="9" t="s">
        <v>688</v>
      </c>
      <c r="K423" s="9" t="s">
        <v>10</v>
      </c>
      <c r="L423" s="9" t="s">
        <v>7</v>
      </c>
      <c r="M423" s="9" t="n">
        <v>0</v>
      </c>
      <c r="N423" s="9" t="n">
        <v>1974</v>
      </c>
      <c r="O423" s="9" t="n">
        <v>31724</v>
      </c>
    </row>
    <row r="424" customFormat="false" ht="17.25" hidden="false" customHeight="false" outlineLevel="0" collapsed="false">
      <c r="B424" s="9" t="n">
        <v>1621</v>
      </c>
      <c r="C424" s="9" t="s">
        <v>1024</v>
      </c>
      <c r="D424" s="9" t="s">
        <v>787</v>
      </c>
      <c r="E424" s="9" t="s">
        <v>1025</v>
      </c>
      <c r="F424" s="10" t="s">
        <v>299</v>
      </c>
      <c r="G424" s="10" t="n">
        <v>19840</v>
      </c>
      <c r="H424" s="10" t="n">
        <v>19840</v>
      </c>
      <c r="I424" s="11" t="s">
        <v>804</v>
      </c>
      <c r="J424" s="9" t="s">
        <v>743</v>
      </c>
      <c r="K424" s="9" t="s">
        <v>10</v>
      </c>
      <c r="L424" s="9" t="s">
        <v>735</v>
      </c>
      <c r="M424" s="9" t="n">
        <v>848.16</v>
      </c>
      <c r="N424" s="9" t="n">
        <v>1566.5664</v>
      </c>
      <c r="O424" s="9" t="n">
        <v>22254.7264</v>
      </c>
    </row>
    <row r="425" customFormat="false" ht="17.25" hidden="false" customHeight="false" outlineLevel="0" collapsed="false">
      <c r="B425" s="9" t="n">
        <v>1671</v>
      </c>
      <c r="C425" s="9" t="s">
        <v>1026</v>
      </c>
      <c r="D425" s="9" t="s">
        <v>745</v>
      </c>
      <c r="E425" s="9" t="s">
        <v>63</v>
      </c>
      <c r="F425" s="10" t="s">
        <v>87</v>
      </c>
      <c r="G425" s="10" t="n">
        <v>29290</v>
      </c>
      <c r="H425" s="10" t="n">
        <v>29290</v>
      </c>
      <c r="I425" s="11" t="s">
        <v>1027</v>
      </c>
      <c r="J425" s="9" t="s">
        <v>1028</v>
      </c>
      <c r="K425" s="9" t="s">
        <v>8</v>
      </c>
      <c r="L425" s="9" t="s">
        <v>13</v>
      </c>
      <c r="M425" s="9" t="n">
        <v>0</v>
      </c>
      <c r="N425" s="9" t="n">
        <v>1974</v>
      </c>
      <c r="O425" s="9" t="n">
        <v>31264</v>
      </c>
    </row>
    <row r="426" customFormat="false" ht="17.25" hidden="false" customHeight="false" outlineLevel="0" collapsed="false">
      <c r="B426" s="9" t="n">
        <v>1680</v>
      </c>
      <c r="C426" s="9" t="s">
        <v>1029</v>
      </c>
      <c r="D426" s="9" t="s">
        <v>1030</v>
      </c>
      <c r="E426" s="9" t="s">
        <v>1031</v>
      </c>
      <c r="F426" s="10" t="s">
        <v>1032</v>
      </c>
      <c r="G426" s="10" t="n">
        <v>190000</v>
      </c>
      <c r="H426" s="10" t="n">
        <v>190000</v>
      </c>
      <c r="I426" s="11" t="s">
        <v>751</v>
      </c>
      <c r="J426" s="9" t="s">
        <v>752</v>
      </c>
      <c r="K426" s="9" t="s">
        <v>10</v>
      </c>
      <c r="L426" s="9" t="s">
        <v>13</v>
      </c>
      <c r="M426" s="9" t="n">
        <v>0</v>
      </c>
      <c r="N426" s="9" t="n">
        <v>1974</v>
      </c>
      <c r="O426" s="9" t="n">
        <v>191974</v>
      </c>
    </row>
    <row r="427" customFormat="false" ht="17.25" hidden="false" customHeight="false" outlineLevel="0" collapsed="false">
      <c r="B427" s="9" t="n">
        <v>1688</v>
      </c>
      <c r="C427" s="9" t="s">
        <v>1033</v>
      </c>
      <c r="D427" s="9" t="s">
        <v>757</v>
      </c>
      <c r="E427" s="9" t="s">
        <v>1034</v>
      </c>
      <c r="F427" s="10" t="s">
        <v>64</v>
      </c>
      <c r="G427" s="10" t="n">
        <v>43260</v>
      </c>
      <c r="H427" s="10" t="n">
        <v>43260</v>
      </c>
      <c r="I427" s="11" t="s">
        <v>1021</v>
      </c>
      <c r="J427" s="9" t="s">
        <v>1021</v>
      </c>
      <c r="K427" s="9" t="s">
        <v>10</v>
      </c>
      <c r="L427" s="9" t="s">
        <v>13</v>
      </c>
      <c r="M427" s="9" t="n">
        <v>0</v>
      </c>
      <c r="N427" s="9" t="n">
        <v>1974</v>
      </c>
      <c r="O427" s="9" t="n">
        <v>45234</v>
      </c>
    </row>
    <row r="428" customFormat="false" ht="17.25" hidden="false" customHeight="false" outlineLevel="0" collapsed="false">
      <c r="B428" s="9" t="n">
        <v>1750</v>
      </c>
      <c r="C428" s="9" t="s">
        <v>1035</v>
      </c>
      <c r="D428" s="9" t="s">
        <v>797</v>
      </c>
      <c r="E428" s="9" t="s">
        <v>1036</v>
      </c>
      <c r="F428" s="10" t="s">
        <v>299</v>
      </c>
      <c r="G428" s="10" t="n">
        <v>20270</v>
      </c>
      <c r="H428" s="10" t="n">
        <v>19932.17</v>
      </c>
      <c r="I428" s="11" t="s">
        <v>699</v>
      </c>
      <c r="J428" s="9" t="s">
        <v>734</v>
      </c>
      <c r="K428" s="9" t="s">
        <v>10</v>
      </c>
      <c r="L428" s="9" t="s">
        <v>3</v>
      </c>
      <c r="M428" s="9" t="n">
        <v>852.1002675</v>
      </c>
      <c r="N428" s="9" t="n">
        <v>1573.8441432</v>
      </c>
      <c r="O428" s="9" t="n">
        <v>22358.1144107</v>
      </c>
    </row>
    <row r="429" customFormat="false" ht="17.25" hidden="false" customHeight="false" outlineLevel="0" collapsed="false">
      <c r="B429" s="9" t="n">
        <v>1805</v>
      </c>
      <c r="C429" s="9" t="s">
        <v>1037</v>
      </c>
      <c r="D429" s="9" t="s">
        <v>780</v>
      </c>
      <c r="E429" s="9" t="s">
        <v>261</v>
      </c>
      <c r="F429" s="10" t="s">
        <v>299</v>
      </c>
      <c r="G429" s="10" t="n">
        <v>19100</v>
      </c>
      <c r="H429" s="10" t="n">
        <v>19100</v>
      </c>
      <c r="I429" s="11" t="s">
        <v>699</v>
      </c>
      <c r="J429" s="9" t="s">
        <v>734</v>
      </c>
      <c r="K429" s="9" t="s">
        <v>10</v>
      </c>
      <c r="L429" s="9" t="s">
        <v>13</v>
      </c>
      <c r="M429" s="9" t="n">
        <v>816.525</v>
      </c>
      <c r="N429" s="9" t="n">
        <v>1508.136</v>
      </c>
      <c r="O429" s="9" t="n">
        <v>21424.661</v>
      </c>
    </row>
    <row r="430" customFormat="false" ht="17.25" hidden="false" customHeight="false" outlineLevel="0" collapsed="false">
      <c r="B430" s="9" t="n">
        <v>1808</v>
      </c>
      <c r="C430" s="9" t="s">
        <v>1038</v>
      </c>
      <c r="D430" s="9" t="s">
        <v>787</v>
      </c>
      <c r="E430" s="9" t="s">
        <v>63</v>
      </c>
      <c r="F430" s="10" t="s">
        <v>299</v>
      </c>
      <c r="G430" s="10" t="n">
        <v>20010</v>
      </c>
      <c r="H430" s="10" t="n">
        <v>20010</v>
      </c>
      <c r="I430" s="11" t="s">
        <v>799</v>
      </c>
      <c r="J430" s="9" t="s">
        <v>739</v>
      </c>
      <c r="K430" s="9" t="s">
        <v>5</v>
      </c>
      <c r="L430" s="9" t="s">
        <v>5</v>
      </c>
      <c r="M430" s="9" t="n">
        <v>950.475</v>
      </c>
      <c r="N430" s="9" t="n">
        <v>1843.3212</v>
      </c>
      <c r="O430" s="9" t="n">
        <v>22803.7962</v>
      </c>
    </row>
    <row r="431" customFormat="false" ht="17.25" hidden="false" customHeight="false" outlineLevel="0" collapsed="false">
      <c r="B431" s="9" t="n">
        <v>1818</v>
      </c>
      <c r="C431" s="9" t="s">
        <v>1039</v>
      </c>
      <c r="D431" s="9" t="s">
        <v>785</v>
      </c>
      <c r="E431" s="9" t="s">
        <v>1040</v>
      </c>
      <c r="F431" s="10" t="s">
        <v>299</v>
      </c>
      <c r="G431" s="10" t="n">
        <v>21740</v>
      </c>
      <c r="H431" s="10" t="n">
        <v>21740</v>
      </c>
      <c r="I431" s="11" t="s">
        <v>1041</v>
      </c>
      <c r="J431" s="9" t="s">
        <v>1041</v>
      </c>
      <c r="K431" s="9" t="s">
        <v>10</v>
      </c>
      <c r="L431" s="9" t="s">
        <v>13</v>
      </c>
      <c r="M431" s="9" t="n">
        <v>929.385</v>
      </c>
      <c r="N431" s="9" t="n">
        <v>1716.5904</v>
      </c>
      <c r="O431" s="9" t="n">
        <v>24385.9754</v>
      </c>
    </row>
    <row r="432" customFormat="false" ht="17.25" hidden="false" customHeight="false" outlineLevel="0" collapsed="false">
      <c r="B432" s="9" t="n">
        <v>1819</v>
      </c>
      <c r="C432" s="9" t="s">
        <v>1042</v>
      </c>
      <c r="D432" s="9" t="s">
        <v>967</v>
      </c>
      <c r="E432" s="9" t="s">
        <v>1043</v>
      </c>
      <c r="F432" s="10" t="s">
        <v>331</v>
      </c>
      <c r="G432" s="10" t="n">
        <v>20980</v>
      </c>
      <c r="H432" s="10" t="n">
        <v>20980</v>
      </c>
      <c r="I432" s="11" t="s">
        <v>773</v>
      </c>
      <c r="J432" s="9" t="s">
        <v>773</v>
      </c>
      <c r="K432" s="9" t="s">
        <v>10</v>
      </c>
      <c r="L432" s="9" t="s">
        <v>10</v>
      </c>
      <c r="M432" s="9" t="n">
        <v>896.895</v>
      </c>
      <c r="N432" s="9" t="n">
        <v>1656.5808</v>
      </c>
      <c r="O432" s="9" t="n">
        <v>23533.4758</v>
      </c>
    </row>
    <row r="433" customFormat="false" ht="17.25" hidden="false" customHeight="false" outlineLevel="0" collapsed="false">
      <c r="B433" s="9" t="n">
        <v>1824</v>
      </c>
      <c r="C433" s="9" t="s">
        <v>1044</v>
      </c>
      <c r="D433" s="9" t="s">
        <v>797</v>
      </c>
      <c r="E433" s="9" t="s">
        <v>1045</v>
      </c>
      <c r="F433" s="10" t="s">
        <v>299</v>
      </c>
      <c r="G433" s="10" t="n">
        <v>18840</v>
      </c>
      <c r="H433" s="10" t="n">
        <v>13188</v>
      </c>
      <c r="I433" s="11" t="s">
        <v>1041</v>
      </c>
      <c r="J433" s="9" t="s">
        <v>1041</v>
      </c>
      <c r="K433" s="9" t="s">
        <v>3</v>
      </c>
      <c r="L433" s="9" t="s">
        <v>13</v>
      </c>
      <c r="M433" s="9" t="n">
        <v>563.787</v>
      </c>
      <c r="N433" s="9" t="n">
        <v>1041.32448</v>
      </c>
      <c r="O433" s="9" t="n">
        <v>14793.11148</v>
      </c>
    </row>
    <row r="434" customFormat="false" ht="17.25" hidden="false" customHeight="false" outlineLevel="0" collapsed="false">
      <c r="B434" s="9" t="n">
        <v>1826</v>
      </c>
      <c r="C434" s="9" t="s">
        <v>1046</v>
      </c>
      <c r="D434" s="9" t="s">
        <v>849</v>
      </c>
      <c r="E434" s="9" t="s">
        <v>1047</v>
      </c>
      <c r="F434" s="10" t="s">
        <v>299</v>
      </c>
      <c r="G434" s="10" t="n">
        <v>21380</v>
      </c>
      <c r="H434" s="10" t="n">
        <v>21380</v>
      </c>
      <c r="I434" s="11" t="s">
        <v>773</v>
      </c>
      <c r="J434" s="9" t="s">
        <v>773</v>
      </c>
      <c r="K434" s="9" t="s">
        <v>10</v>
      </c>
      <c r="L434" s="9" t="s">
        <v>3</v>
      </c>
      <c r="M434" s="9" t="n">
        <v>913.995</v>
      </c>
      <c r="N434" s="9" t="n">
        <v>1688.1648</v>
      </c>
      <c r="O434" s="9" t="n">
        <v>23982.1598</v>
      </c>
    </row>
    <row r="435" customFormat="false" ht="17.25" hidden="false" customHeight="false" outlineLevel="0" collapsed="false">
      <c r="B435" s="9" t="n">
        <v>1830</v>
      </c>
      <c r="C435" s="9" t="s">
        <v>1048</v>
      </c>
      <c r="D435" s="9" t="s">
        <v>967</v>
      </c>
      <c r="E435" s="9" t="s">
        <v>1049</v>
      </c>
      <c r="F435" s="10" t="s">
        <v>331</v>
      </c>
      <c r="G435" s="10" t="n">
        <v>17630</v>
      </c>
      <c r="H435" s="10" t="n">
        <v>17630</v>
      </c>
      <c r="I435" s="11" t="s">
        <v>773</v>
      </c>
      <c r="J435" s="9" t="s">
        <v>773</v>
      </c>
      <c r="K435" s="9" t="s">
        <v>10</v>
      </c>
      <c r="L435" s="9" t="s">
        <v>10</v>
      </c>
      <c r="M435" s="9" t="n">
        <v>753.6825</v>
      </c>
      <c r="N435" s="9" t="n">
        <v>1392.0648</v>
      </c>
      <c r="O435" s="9" t="n">
        <v>19775.7473</v>
      </c>
    </row>
    <row r="436" customFormat="false" ht="17.25" hidden="false" customHeight="false" outlineLevel="0" collapsed="false">
      <c r="B436" s="9" t="n">
        <v>1834</v>
      </c>
      <c r="C436" s="9" t="s">
        <v>1050</v>
      </c>
      <c r="D436" s="9" t="s">
        <v>797</v>
      </c>
      <c r="E436" s="9" t="s">
        <v>1051</v>
      </c>
      <c r="F436" s="10" t="s">
        <v>299</v>
      </c>
      <c r="G436" s="10" t="n">
        <v>17660</v>
      </c>
      <c r="H436" s="10" t="n">
        <v>13539.33</v>
      </c>
      <c r="I436" s="11" t="s">
        <v>699</v>
      </c>
      <c r="J436" s="9" t="s">
        <v>734</v>
      </c>
      <c r="K436" s="9" t="s">
        <v>4</v>
      </c>
      <c r="L436" s="9" t="s">
        <v>4</v>
      </c>
      <c r="M436" s="9" t="n">
        <v>578.8063575</v>
      </c>
      <c r="N436" s="9" t="n">
        <v>1069.0654968</v>
      </c>
      <c r="O436" s="9" t="n">
        <v>15187.2018543</v>
      </c>
    </row>
    <row r="437" customFormat="false" ht="17.25" hidden="false" customHeight="false" outlineLevel="0" collapsed="false">
      <c r="B437" s="9" t="n">
        <v>1840</v>
      </c>
      <c r="C437" s="9" t="s">
        <v>1052</v>
      </c>
      <c r="D437" s="9" t="s">
        <v>1007</v>
      </c>
      <c r="E437" s="9" t="s">
        <v>1053</v>
      </c>
      <c r="F437" s="10" t="s">
        <v>109</v>
      </c>
      <c r="G437" s="10" t="n">
        <v>15350</v>
      </c>
      <c r="H437" s="10" t="n">
        <v>15350</v>
      </c>
      <c r="I437" s="11" t="s">
        <v>984</v>
      </c>
      <c r="J437" s="9" t="s">
        <v>743</v>
      </c>
      <c r="K437" s="9" t="s">
        <v>10</v>
      </c>
      <c r="L437" s="9" t="s">
        <v>10</v>
      </c>
      <c r="M437" s="9" t="n">
        <v>656.2125</v>
      </c>
      <c r="N437" s="9" t="n">
        <v>1212.036</v>
      </c>
      <c r="O437" s="9" t="n">
        <v>17218.2485</v>
      </c>
    </row>
    <row r="438" customFormat="false" ht="17.25" hidden="false" customHeight="false" outlineLevel="0" collapsed="false">
      <c r="B438" s="9" t="n">
        <v>1844</v>
      </c>
      <c r="C438" s="9" t="s">
        <v>1054</v>
      </c>
      <c r="D438" s="9" t="s">
        <v>745</v>
      </c>
      <c r="E438" s="9" t="s">
        <v>1045</v>
      </c>
      <c r="F438" s="10" t="s">
        <v>64</v>
      </c>
      <c r="G438" s="10" t="n">
        <v>42780</v>
      </c>
      <c r="H438" s="10" t="n">
        <v>42780</v>
      </c>
      <c r="I438" s="11" t="s">
        <v>1055</v>
      </c>
      <c r="J438" s="9" t="s">
        <v>839</v>
      </c>
      <c r="K438" s="9" t="s">
        <v>10</v>
      </c>
      <c r="L438" s="9" t="s">
        <v>1056</v>
      </c>
      <c r="M438" s="9" t="n">
        <v>0</v>
      </c>
      <c r="N438" s="9" t="n">
        <v>1974</v>
      </c>
      <c r="O438" s="9" t="n">
        <v>44754</v>
      </c>
    </row>
    <row r="439" customFormat="false" ht="17.25" hidden="false" customHeight="false" outlineLevel="0" collapsed="false">
      <c r="B439" s="9" t="n">
        <v>1849</v>
      </c>
      <c r="C439" s="9" t="s">
        <v>1057</v>
      </c>
      <c r="D439" s="9" t="s">
        <v>787</v>
      </c>
      <c r="E439" s="9" t="n">
        <v>40612</v>
      </c>
      <c r="F439" s="10" t="s">
        <v>109</v>
      </c>
      <c r="G439" s="10" t="n">
        <v>16400</v>
      </c>
      <c r="H439" s="10" t="n">
        <v>16400</v>
      </c>
      <c r="I439" s="11" t="s">
        <v>804</v>
      </c>
      <c r="J439" s="9" t="s">
        <v>743</v>
      </c>
      <c r="K439" s="9" t="s">
        <v>8</v>
      </c>
      <c r="L439" s="9" t="s">
        <v>8</v>
      </c>
      <c r="M439" s="9" t="n">
        <v>701.1</v>
      </c>
      <c r="N439" s="9" t="n">
        <v>1294.944</v>
      </c>
      <c r="O439" s="9" t="n">
        <v>18396.044</v>
      </c>
    </row>
    <row r="440" customFormat="false" ht="17.25" hidden="false" customHeight="false" outlineLevel="0" collapsed="false">
      <c r="B440" s="9" t="n">
        <v>1851</v>
      </c>
      <c r="C440" s="9" t="s">
        <v>1058</v>
      </c>
      <c r="D440" s="9" t="s">
        <v>785</v>
      </c>
      <c r="E440" s="9" t="s">
        <v>625</v>
      </c>
      <c r="F440" s="10" t="s">
        <v>64</v>
      </c>
      <c r="G440" s="10" t="n">
        <v>40300</v>
      </c>
      <c r="H440" s="10" t="n">
        <v>40300</v>
      </c>
      <c r="I440" s="11" t="s">
        <v>1055</v>
      </c>
      <c r="J440" s="9" t="s">
        <v>839</v>
      </c>
      <c r="K440" s="9" t="s">
        <v>10</v>
      </c>
      <c r="L440" s="9" t="s">
        <v>1056</v>
      </c>
      <c r="M440" s="9" t="n">
        <v>0</v>
      </c>
      <c r="N440" s="9" t="n">
        <v>1974</v>
      </c>
      <c r="O440" s="9" t="n">
        <v>42274</v>
      </c>
    </row>
    <row r="441" customFormat="false" ht="17.25" hidden="false" customHeight="false" outlineLevel="0" collapsed="false">
      <c r="B441" s="9" t="n">
        <v>2006</v>
      </c>
      <c r="C441" s="9" t="s">
        <v>1059</v>
      </c>
      <c r="D441" s="9" t="s">
        <v>849</v>
      </c>
      <c r="E441" s="9" t="s">
        <v>1060</v>
      </c>
      <c r="F441" s="10" t="s">
        <v>299</v>
      </c>
      <c r="G441" s="10" t="n">
        <v>22910</v>
      </c>
      <c r="H441" s="10" t="n">
        <v>22910</v>
      </c>
      <c r="I441" s="11" t="s">
        <v>751</v>
      </c>
      <c r="J441" s="9" t="s">
        <v>752</v>
      </c>
      <c r="K441" s="9" t="s">
        <v>5</v>
      </c>
      <c r="L441" s="9" t="s">
        <v>7</v>
      </c>
      <c r="M441" s="9" t="n">
        <v>0</v>
      </c>
      <c r="N441" s="9" t="n">
        <v>1974</v>
      </c>
      <c r="O441" s="9" t="n">
        <v>24884</v>
      </c>
    </row>
    <row r="442" customFormat="false" ht="17.25" hidden="false" customHeight="false" outlineLevel="0" collapsed="false">
      <c r="B442" s="9" t="n">
        <v>2044</v>
      </c>
      <c r="C442" s="9" t="s">
        <v>1061</v>
      </c>
      <c r="D442" s="9" t="s">
        <v>787</v>
      </c>
      <c r="E442" s="9" t="s">
        <v>1062</v>
      </c>
      <c r="F442" s="10" t="s">
        <v>109</v>
      </c>
      <c r="G442" s="10" t="n">
        <v>15040</v>
      </c>
      <c r="H442" s="10" t="n">
        <v>15040</v>
      </c>
      <c r="I442" s="11" t="s">
        <v>742</v>
      </c>
      <c r="J442" s="9" t="s">
        <v>743</v>
      </c>
      <c r="K442" s="9" t="s">
        <v>3</v>
      </c>
      <c r="L442" s="9" t="s">
        <v>13</v>
      </c>
      <c r="M442" s="9" t="n">
        <v>642.96</v>
      </c>
      <c r="N442" s="9" t="n">
        <v>1187.5584</v>
      </c>
      <c r="O442" s="9" t="n">
        <v>16870.5184</v>
      </c>
    </row>
    <row r="443" customFormat="false" ht="17.25" hidden="false" customHeight="false" outlineLevel="0" collapsed="false">
      <c r="B443" s="9" t="n">
        <v>2114</v>
      </c>
      <c r="C443" s="9" t="s">
        <v>1033</v>
      </c>
      <c r="D443" s="9" t="s">
        <v>732</v>
      </c>
      <c r="E443" s="9" t="s">
        <v>1063</v>
      </c>
      <c r="F443" s="10" t="s">
        <v>64</v>
      </c>
      <c r="G443" s="10" t="n">
        <v>41050</v>
      </c>
      <c r="H443" s="10" t="n">
        <v>41050</v>
      </c>
      <c r="I443" s="11" t="s">
        <v>1064</v>
      </c>
      <c r="J443" s="9" t="s">
        <v>1065</v>
      </c>
      <c r="K443" s="9" t="s">
        <v>10</v>
      </c>
      <c r="L443" s="9" t="s">
        <v>13</v>
      </c>
      <c r="M443" s="9" t="n">
        <v>0</v>
      </c>
      <c r="N443" s="9" t="n">
        <v>1974</v>
      </c>
      <c r="O443" s="9" t="n">
        <v>43024</v>
      </c>
    </row>
    <row r="444" customFormat="false" ht="17.25" hidden="false" customHeight="false" outlineLevel="0" collapsed="false">
      <c r="B444" s="9" t="n">
        <v>2117</v>
      </c>
      <c r="C444" s="9" t="s">
        <v>1066</v>
      </c>
      <c r="D444" s="9" t="s">
        <v>619</v>
      </c>
      <c r="E444" s="9" t="s">
        <v>1063</v>
      </c>
      <c r="F444" s="10" t="s">
        <v>299</v>
      </c>
      <c r="G444" s="10" t="n">
        <v>17680</v>
      </c>
      <c r="H444" s="10" t="n">
        <v>17680</v>
      </c>
      <c r="I444" s="11" t="s">
        <v>688</v>
      </c>
      <c r="J444" s="9" t="s">
        <v>688</v>
      </c>
      <c r="K444" s="9" t="s">
        <v>4</v>
      </c>
      <c r="L444" s="9" t="s">
        <v>4</v>
      </c>
      <c r="M444" s="9" t="n">
        <v>755.82</v>
      </c>
      <c r="N444" s="9" t="n">
        <v>1396.0128</v>
      </c>
      <c r="O444" s="9" t="n">
        <v>19831.8328</v>
      </c>
    </row>
    <row r="445" customFormat="false" ht="17.25" hidden="false" customHeight="false" outlineLevel="0" collapsed="false">
      <c r="B445" s="9" t="n">
        <v>2133</v>
      </c>
      <c r="C445" s="9" t="s">
        <v>1067</v>
      </c>
      <c r="D445" s="9" t="s">
        <v>898</v>
      </c>
      <c r="E445" s="9" t="s">
        <v>1068</v>
      </c>
      <c r="F445" s="10" t="s">
        <v>58</v>
      </c>
      <c r="G445" s="10" t="n">
        <v>28690</v>
      </c>
      <c r="H445" s="10" t="n">
        <v>28690</v>
      </c>
      <c r="I445" s="11" t="s">
        <v>759</v>
      </c>
      <c r="J445" s="9" t="s">
        <v>760</v>
      </c>
      <c r="K445" s="9" t="s">
        <v>3</v>
      </c>
      <c r="L445" s="9" t="s">
        <v>3</v>
      </c>
      <c r="M445" s="9" t="n">
        <v>0</v>
      </c>
      <c r="N445" s="9" t="n">
        <v>1974</v>
      </c>
      <c r="O445" s="9" t="n">
        <v>30664</v>
      </c>
    </row>
    <row r="446" customFormat="false" ht="17.25" hidden="false" customHeight="false" outlineLevel="0" collapsed="false">
      <c r="B446" s="9" t="n">
        <v>2193</v>
      </c>
      <c r="C446" s="9" t="s">
        <v>1069</v>
      </c>
      <c r="D446" s="9" t="s">
        <v>898</v>
      </c>
      <c r="E446" s="9" t="s">
        <v>588</v>
      </c>
      <c r="F446" s="10" t="s">
        <v>58</v>
      </c>
      <c r="G446" s="10" t="n">
        <v>25590</v>
      </c>
      <c r="H446" s="10" t="n">
        <v>25590</v>
      </c>
      <c r="I446" s="11" t="s">
        <v>751</v>
      </c>
      <c r="J446" s="9" t="s">
        <v>752</v>
      </c>
      <c r="K446" s="9" t="s">
        <v>10</v>
      </c>
      <c r="L446" s="9" t="s">
        <v>3</v>
      </c>
      <c r="M446" s="9" t="n">
        <v>0</v>
      </c>
      <c r="N446" s="9" t="n">
        <v>1974</v>
      </c>
      <c r="O446" s="9" t="n">
        <v>27564</v>
      </c>
    </row>
    <row r="447" customFormat="false" ht="17.25" hidden="false" customHeight="false" outlineLevel="0" collapsed="false">
      <c r="B447" s="9" t="n">
        <v>2243</v>
      </c>
      <c r="C447" s="9" t="s">
        <v>1070</v>
      </c>
      <c r="D447" s="9" t="s">
        <v>1071</v>
      </c>
      <c r="E447" s="9" t="s">
        <v>1072</v>
      </c>
      <c r="F447" s="10" t="s">
        <v>87</v>
      </c>
      <c r="G447" s="10" t="n">
        <v>26100</v>
      </c>
      <c r="H447" s="10" t="n">
        <v>26100</v>
      </c>
      <c r="I447" s="11" t="s">
        <v>984</v>
      </c>
      <c r="J447" s="9" t="s">
        <v>743</v>
      </c>
      <c r="K447" s="9" t="s">
        <v>10</v>
      </c>
      <c r="L447" s="9" t="s">
        <v>13</v>
      </c>
      <c r="M447" s="9" t="n">
        <v>0</v>
      </c>
      <c r="N447" s="9" t="n">
        <v>1974</v>
      </c>
      <c r="O447" s="9" t="n">
        <v>28074</v>
      </c>
    </row>
    <row r="448" customFormat="false" ht="17.25" hidden="false" customHeight="false" outlineLevel="0" collapsed="false">
      <c r="B448" s="9" t="n">
        <v>2264</v>
      </c>
      <c r="C448" s="9" t="s">
        <v>1073</v>
      </c>
      <c r="D448" s="9" t="s">
        <v>584</v>
      </c>
      <c r="E448" s="9" t="s">
        <v>1072</v>
      </c>
      <c r="F448" s="10" t="s">
        <v>109</v>
      </c>
      <c r="G448" s="10" t="n">
        <v>16350</v>
      </c>
      <c r="H448" s="10" t="n">
        <v>16350</v>
      </c>
      <c r="I448" s="11" t="s">
        <v>905</v>
      </c>
      <c r="J448" s="9" t="s">
        <v>739</v>
      </c>
      <c r="K448" s="9" t="s">
        <v>5</v>
      </c>
      <c r="L448" s="9" t="s">
        <v>5</v>
      </c>
      <c r="M448" s="9" t="n">
        <v>776.625</v>
      </c>
      <c r="N448" s="9" t="n">
        <v>1506.162</v>
      </c>
      <c r="O448" s="9" t="n">
        <v>18632.787</v>
      </c>
    </row>
    <row r="449" customFormat="false" ht="17.25" hidden="false" customHeight="false" outlineLevel="0" collapsed="false">
      <c r="B449" s="9" t="n">
        <v>2328</v>
      </c>
      <c r="C449" s="9" t="s">
        <v>1074</v>
      </c>
      <c r="D449" s="9" t="s">
        <v>895</v>
      </c>
      <c r="E449" s="9" t="s">
        <v>1072</v>
      </c>
      <c r="F449" s="10" t="s">
        <v>109</v>
      </c>
      <c r="G449" s="10" t="n">
        <v>15730</v>
      </c>
      <c r="H449" s="10" t="n">
        <v>15730</v>
      </c>
      <c r="I449" s="11" t="s">
        <v>759</v>
      </c>
      <c r="J449" s="9" t="s">
        <v>760</v>
      </c>
      <c r="K449" s="9" t="s">
        <v>8</v>
      </c>
      <c r="L449" s="9" t="s">
        <v>8</v>
      </c>
      <c r="M449" s="9" t="n">
        <v>672.4575</v>
      </c>
      <c r="N449" s="9" t="n">
        <v>1242.0408</v>
      </c>
      <c r="O449" s="9" t="n">
        <v>17644.4983</v>
      </c>
    </row>
    <row r="450" customFormat="false" ht="17.25" hidden="false" customHeight="false" outlineLevel="0" collapsed="false">
      <c r="B450" s="9" t="n">
        <v>2338</v>
      </c>
      <c r="C450" s="9" t="s">
        <v>1075</v>
      </c>
      <c r="D450" s="9" t="s">
        <v>982</v>
      </c>
      <c r="E450" s="9" t="s">
        <v>1076</v>
      </c>
      <c r="F450" s="10" t="s">
        <v>331</v>
      </c>
      <c r="G450" s="10" t="n">
        <v>11720</v>
      </c>
      <c r="H450" s="10" t="n">
        <v>11720</v>
      </c>
      <c r="I450" s="11" t="s">
        <v>984</v>
      </c>
      <c r="J450" s="9" t="s">
        <v>743</v>
      </c>
      <c r="K450" s="9" t="s">
        <v>3</v>
      </c>
      <c r="L450" s="9" t="s">
        <v>13</v>
      </c>
      <c r="M450" s="9" t="n">
        <v>501.03</v>
      </c>
      <c r="N450" s="9" t="n">
        <v>925.4112</v>
      </c>
      <c r="O450" s="9" t="n">
        <v>13146.4412</v>
      </c>
    </row>
    <row r="451" customFormat="false" ht="17.25" hidden="false" customHeight="false" outlineLevel="0" collapsed="false">
      <c r="B451" s="9" t="n">
        <v>2447</v>
      </c>
      <c r="C451" s="9" t="s">
        <v>1077</v>
      </c>
      <c r="D451" s="9" t="s">
        <v>1007</v>
      </c>
      <c r="E451" s="9" t="s">
        <v>170</v>
      </c>
      <c r="F451" s="10" t="s">
        <v>109</v>
      </c>
      <c r="G451" s="10" t="n">
        <v>12950</v>
      </c>
      <c r="H451" s="10" t="n">
        <v>12950</v>
      </c>
      <c r="I451" s="11" t="s">
        <v>905</v>
      </c>
      <c r="J451" s="9" t="s">
        <v>739</v>
      </c>
      <c r="K451" s="9" t="s">
        <v>4</v>
      </c>
      <c r="L451" s="9" t="s">
        <v>17</v>
      </c>
      <c r="M451" s="9" t="n">
        <v>553.6125</v>
      </c>
      <c r="N451" s="9" t="n">
        <v>1022.532</v>
      </c>
      <c r="O451" s="9" t="n">
        <v>14526.1445</v>
      </c>
    </row>
    <row r="452" customFormat="false" ht="17.25" hidden="false" customHeight="false" outlineLevel="0" collapsed="false">
      <c r="B452" s="9" t="n">
        <v>2450</v>
      </c>
      <c r="C452" s="9" t="s">
        <v>1078</v>
      </c>
      <c r="D452" s="9" t="s">
        <v>1007</v>
      </c>
      <c r="E452" s="9" t="s">
        <v>1072</v>
      </c>
      <c r="F452" s="10" t="s">
        <v>109</v>
      </c>
      <c r="G452" s="10" t="n">
        <v>12190</v>
      </c>
      <c r="H452" s="10" t="n">
        <v>12190</v>
      </c>
      <c r="I452" s="11" t="s">
        <v>905</v>
      </c>
      <c r="J452" s="9" t="s">
        <v>739</v>
      </c>
      <c r="K452" s="9" t="s">
        <v>4</v>
      </c>
      <c r="L452" s="9" t="s">
        <v>4</v>
      </c>
      <c r="M452" s="9" t="n">
        <v>521.1225</v>
      </c>
      <c r="N452" s="9" t="n">
        <v>962.5224</v>
      </c>
      <c r="O452" s="9" t="n">
        <v>13673.6449</v>
      </c>
    </row>
    <row r="453" customFormat="false" ht="17.25" hidden="false" customHeight="false" outlineLevel="0" collapsed="false">
      <c r="B453" s="9" t="n">
        <v>2451</v>
      </c>
      <c r="C453" s="9" t="s">
        <v>1079</v>
      </c>
      <c r="D453" s="9" t="s">
        <v>1007</v>
      </c>
      <c r="E453" s="9" t="s">
        <v>1080</v>
      </c>
      <c r="F453" s="10" t="s">
        <v>109</v>
      </c>
      <c r="G453" s="10" t="n">
        <v>12020</v>
      </c>
      <c r="H453" s="10" t="n">
        <v>12020</v>
      </c>
      <c r="I453" s="11" t="s">
        <v>799</v>
      </c>
      <c r="J453" s="9" t="s">
        <v>739</v>
      </c>
      <c r="K453" s="9" t="s">
        <v>4</v>
      </c>
      <c r="L453" s="9" t="s">
        <v>4</v>
      </c>
      <c r="M453" s="9" t="n">
        <v>513.855</v>
      </c>
      <c r="N453" s="9" t="n">
        <v>949.0992</v>
      </c>
      <c r="O453" s="9" t="n">
        <v>13482.9542</v>
      </c>
    </row>
    <row r="454" customFormat="false" ht="17.25" hidden="false" customHeight="false" outlineLevel="0" collapsed="false">
      <c r="B454" s="9" t="n">
        <v>2486</v>
      </c>
      <c r="C454" s="9" t="s">
        <v>1081</v>
      </c>
      <c r="D454" s="9" t="s">
        <v>787</v>
      </c>
      <c r="E454" s="9" t="s">
        <v>1082</v>
      </c>
      <c r="F454" s="10" t="s">
        <v>299</v>
      </c>
      <c r="G454" s="10" t="n">
        <v>20180</v>
      </c>
      <c r="H454" s="10" t="n">
        <v>20180</v>
      </c>
      <c r="I454" s="11" t="s">
        <v>688</v>
      </c>
      <c r="J454" s="9" t="s">
        <v>688</v>
      </c>
      <c r="K454" s="9" t="s">
        <v>8</v>
      </c>
      <c r="L454" s="9" t="s">
        <v>8</v>
      </c>
      <c r="M454" s="9" t="n">
        <v>862.695</v>
      </c>
      <c r="N454" s="9" t="n">
        <v>1593.4128</v>
      </c>
      <c r="O454" s="9" t="n">
        <v>22636.1078</v>
      </c>
    </row>
    <row r="455" customFormat="false" ht="17.25" hidden="false" customHeight="false" outlineLevel="0" collapsed="false">
      <c r="B455" s="9" t="n">
        <v>2534</v>
      </c>
      <c r="C455" s="9" t="s">
        <v>1083</v>
      </c>
      <c r="D455" s="9" t="s">
        <v>787</v>
      </c>
      <c r="E455" s="9" t="s">
        <v>1084</v>
      </c>
      <c r="F455" s="10" t="s">
        <v>299</v>
      </c>
      <c r="G455" s="10" t="n">
        <v>19160</v>
      </c>
      <c r="H455" s="10" t="n">
        <v>19160</v>
      </c>
      <c r="I455" s="11" t="s">
        <v>688</v>
      </c>
      <c r="J455" s="9" t="s">
        <v>688</v>
      </c>
      <c r="K455" s="9" t="s">
        <v>10</v>
      </c>
      <c r="L455" s="9" t="s">
        <v>10</v>
      </c>
      <c r="M455" s="9" t="n">
        <v>819.09</v>
      </c>
      <c r="N455" s="9" t="n">
        <v>1512.8736</v>
      </c>
      <c r="O455" s="9" t="n">
        <v>21491.9636</v>
      </c>
    </row>
    <row r="456" customFormat="false" ht="17.25" hidden="false" customHeight="false" outlineLevel="0" collapsed="false">
      <c r="B456" s="9" t="n">
        <v>2541</v>
      </c>
      <c r="C456" s="9" t="s">
        <v>1085</v>
      </c>
      <c r="D456" s="9" t="s">
        <v>797</v>
      </c>
      <c r="E456" s="9" t="s">
        <v>1076</v>
      </c>
      <c r="F456" s="10" t="s">
        <v>109</v>
      </c>
      <c r="G456" s="10" t="n">
        <v>17060</v>
      </c>
      <c r="H456" s="10" t="n">
        <v>17060</v>
      </c>
      <c r="I456" s="11" t="s">
        <v>1086</v>
      </c>
      <c r="J456" s="9" t="s">
        <v>734</v>
      </c>
      <c r="K456" s="9" t="s">
        <v>5</v>
      </c>
      <c r="L456" s="9" t="s">
        <v>13</v>
      </c>
      <c r="M456" s="9" t="n">
        <v>810.35</v>
      </c>
      <c r="N456" s="9" t="n">
        <v>1571.5672</v>
      </c>
      <c r="O456" s="9" t="n">
        <v>19441.9172</v>
      </c>
    </row>
    <row r="457" customFormat="false" ht="17.25" hidden="false" customHeight="false" outlineLevel="0" collapsed="false">
      <c r="B457" s="9" t="n">
        <v>2583</v>
      </c>
      <c r="C457" s="9" t="s">
        <v>1087</v>
      </c>
      <c r="D457" s="9" t="s">
        <v>1088</v>
      </c>
      <c r="E457" s="9" t="s">
        <v>1089</v>
      </c>
      <c r="F457" s="10" t="s">
        <v>331</v>
      </c>
      <c r="G457" s="10" t="n">
        <v>27170</v>
      </c>
      <c r="H457" s="10" t="n">
        <v>27170</v>
      </c>
      <c r="I457" s="11" t="s">
        <v>773</v>
      </c>
      <c r="J457" s="9" t="s">
        <v>773</v>
      </c>
      <c r="K457" s="9" t="s">
        <v>10</v>
      </c>
      <c r="L457" s="9" t="s">
        <v>10</v>
      </c>
      <c r="M457" s="9" t="n">
        <v>0</v>
      </c>
      <c r="N457" s="9" t="n">
        <v>1974</v>
      </c>
      <c r="O457" s="9" t="n">
        <v>29144</v>
      </c>
    </row>
    <row r="458" customFormat="false" ht="17.25" hidden="false" customHeight="false" outlineLevel="0" collapsed="false">
      <c r="B458" s="9" t="n">
        <v>2591</v>
      </c>
      <c r="C458" s="9" t="s">
        <v>1090</v>
      </c>
      <c r="D458" s="9" t="s">
        <v>851</v>
      </c>
      <c r="E458" s="9" t="s">
        <v>1076</v>
      </c>
      <c r="F458" s="10" t="s">
        <v>79</v>
      </c>
      <c r="G458" s="10" t="n">
        <v>16580</v>
      </c>
      <c r="H458" s="10" t="n">
        <v>16580</v>
      </c>
      <c r="I458" s="11" t="s">
        <v>751</v>
      </c>
      <c r="J458" s="9" t="s">
        <v>752</v>
      </c>
      <c r="K458" s="9" t="s">
        <v>5</v>
      </c>
      <c r="L458" s="9" t="s">
        <v>5</v>
      </c>
      <c r="M458" s="9" t="n">
        <v>787.55</v>
      </c>
      <c r="N458" s="9" t="n">
        <v>1527.3496</v>
      </c>
      <c r="O458" s="9" t="n">
        <v>18894.8996</v>
      </c>
    </row>
    <row r="459" customFormat="false" ht="17.25" hidden="false" customHeight="false" outlineLevel="0" collapsed="false">
      <c r="B459" s="9" t="n">
        <v>2611</v>
      </c>
      <c r="C459" s="9" t="s">
        <v>1091</v>
      </c>
      <c r="D459" s="9" t="s">
        <v>1092</v>
      </c>
      <c r="E459" s="9" t="s">
        <v>1093</v>
      </c>
      <c r="F459" s="10" t="s">
        <v>146</v>
      </c>
      <c r="G459" s="10" t="n">
        <v>90410</v>
      </c>
      <c r="H459" s="10" t="n">
        <v>90410</v>
      </c>
      <c r="I459" s="11" t="s">
        <v>1094</v>
      </c>
      <c r="J459" s="9" t="s">
        <v>774</v>
      </c>
      <c r="K459" s="9" t="s">
        <v>8</v>
      </c>
      <c r="L459" s="9" t="s">
        <v>13</v>
      </c>
      <c r="M459" s="9" t="n">
        <v>0</v>
      </c>
      <c r="N459" s="9" t="n">
        <v>1974</v>
      </c>
      <c r="O459" s="9" t="n">
        <v>92384</v>
      </c>
    </row>
    <row r="460" customFormat="false" ht="17.25" hidden="false" customHeight="false" outlineLevel="0" collapsed="false">
      <c r="B460" s="9" t="n">
        <v>2631</v>
      </c>
      <c r="C460" s="9" t="s">
        <v>1095</v>
      </c>
      <c r="D460" s="9" t="s">
        <v>619</v>
      </c>
      <c r="E460" s="9" t="s">
        <v>1096</v>
      </c>
      <c r="F460" s="10" t="s">
        <v>87</v>
      </c>
      <c r="G460" s="10" t="n">
        <v>24680</v>
      </c>
      <c r="H460" s="10" t="n">
        <v>24680</v>
      </c>
      <c r="I460" s="11" t="s">
        <v>1028</v>
      </c>
      <c r="J460" s="9" t="s">
        <v>1028</v>
      </c>
      <c r="K460" s="9" t="s">
        <v>10</v>
      </c>
      <c r="L460" s="9" t="s">
        <v>13</v>
      </c>
      <c r="M460" s="9" t="n">
        <v>0</v>
      </c>
      <c r="N460" s="9" t="n">
        <v>1948.7328</v>
      </c>
      <c r="O460" s="9" t="n">
        <v>26628.7328</v>
      </c>
    </row>
    <row r="461" customFormat="false" ht="17.25" hidden="false" customHeight="false" outlineLevel="0" collapsed="false">
      <c r="B461" s="9" t="n">
        <v>2678</v>
      </c>
      <c r="C461" s="9" t="s">
        <v>1097</v>
      </c>
      <c r="D461" s="9" t="s">
        <v>584</v>
      </c>
      <c r="E461" s="9" t="s">
        <v>216</v>
      </c>
      <c r="F461" s="10" t="s">
        <v>109</v>
      </c>
      <c r="G461" s="10" t="n">
        <v>14540</v>
      </c>
      <c r="H461" s="10" t="n">
        <v>14540</v>
      </c>
      <c r="I461" s="11" t="s">
        <v>799</v>
      </c>
      <c r="J461" s="9" t="s">
        <v>739</v>
      </c>
      <c r="K461" s="9" t="s">
        <v>10</v>
      </c>
      <c r="L461" s="9" t="s">
        <v>10</v>
      </c>
      <c r="M461" s="9" t="n">
        <v>621.585</v>
      </c>
      <c r="N461" s="9" t="n">
        <v>1148.0784</v>
      </c>
      <c r="O461" s="9" t="n">
        <v>16309.6634</v>
      </c>
    </row>
    <row r="462" customFormat="false" ht="17.25" hidden="false" customHeight="false" outlineLevel="0" collapsed="false">
      <c r="B462" s="9" t="n">
        <v>2685</v>
      </c>
      <c r="C462" s="9" t="s">
        <v>1098</v>
      </c>
      <c r="D462" s="9" t="s">
        <v>1007</v>
      </c>
      <c r="E462" s="9" t="s">
        <v>216</v>
      </c>
      <c r="F462" s="10" t="s">
        <v>109</v>
      </c>
      <c r="G462" s="10" t="n">
        <v>15450</v>
      </c>
      <c r="H462" s="10" t="n">
        <v>15450</v>
      </c>
      <c r="I462" s="11" t="s">
        <v>799</v>
      </c>
      <c r="J462" s="9" t="s">
        <v>739</v>
      </c>
      <c r="K462" s="9" t="s">
        <v>5</v>
      </c>
      <c r="L462" s="9" t="s">
        <v>7</v>
      </c>
      <c r="M462" s="9" t="n">
        <v>733.875</v>
      </c>
      <c r="N462" s="9" t="n">
        <v>1423.254</v>
      </c>
      <c r="O462" s="9" t="n">
        <v>17607.129</v>
      </c>
    </row>
    <row r="463" customFormat="false" ht="17.25" hidden="false" customHeight="false" outlineLevel="0" collapsed="false">
      <c r="B463" s="9" t="n">
        <v>2688</v>
      </c>
      <c r="C463" s="9" t="s">
        <v>1099</v>
      </c>
      <c r="D463" s="9" t="s">
        <v>851</v>
      </c>
      <c r="E463" s="9" t="s">
        <v>216</v>
      </c>
      <c r="F463" s="10" t="s">
        <v>79</v>
      </c>
      <c r="G463" s="10" t="n">
        <v>14500</v>
      </c>
      <c r="H463" s="10" t="n">
        <v>14500</v>
      </c>
      <c r="I463" s="11" t="s">
        <v>751</v>
      </c>
      <c r="J463" s="9" t="s">
        <v>752</v>
      </c>
      <c r="K463" s="9" t="s">
        <v>5</v>
      </c>
      <c r="L463" s="9" t="s">
        <v>5</v>
      </c>
      <c r="M463" s="9" t="n">
        <v>688.75</v>
      </c>
      <c r="N463" s="9" t="n">
        <v>1335.74</v>
      </c>
      <c r="O463" s="9" t="n">
        <v>16524.49</v>
      </c>
    </row>
    <row r="464" customFormat="false" ht="17.25" hidden="false" customHeight="false" outlineLevel="0" collapsed="false">
      <c r="B464" s="9" t="n">
        <v>2694</v>
      </c>
      <c r="C464" s="9" t="s">
        <v>1100</v>
      </c>
      <c r="D464" s="9" t="s">
        <v>619</v>
      </c>
      <c r="E464" s="9" t="s">
        <v>1101</v>
      </c>
      <c r="F464" s="10" t="s">
        <v>299</v>
      </c>
      <c r="G464" s="10" t="n">
        <v>20880</v>
      </c>
      <c r="H464" s="10" t="n">
        <v>20880</v>
      </c>
      <c r="I464" s="11" t="s">
        <v>839</v>
      </c>
      <c r="J464" s="9" t="s">
        <v>839</v>
      </c>
      <c r="K464" s="9" t="s">
        <v>10</v>
      </c>
      <c r="L464" s="9" t="s">
        <v>13</v>
      </c>
      <c r="M464" s="9" t="n">
        <v>892.62</v>
      </c>
      <c r="N464" s="9" t="n">
        <v>1648.6848</v>
      </c>
      <c r="O464" s="9" t="n">
        <v>23421.3048</v>
      </c>
    </row>
    <row r="465" customFormat="false" ht="17.25" hidden="false" customHeight="false" outlineLevel="0" collapsed="false">
      <c r="B465" s="9" t="n">
        <v>2702</v>
      </c>
      <c r="C465" s="9" t="s">
        <v>1102</v>
      </c>
      <c r="D465" s="9" t="s">
        <v>1007</v>
      </c>
      <c r="E465" s="9" t="s">
        <v>1103</v>
      </c>
      <c r="F465" s="10" t="s">
        <v>109</v>
      </c>
      <c r="G465" s="10" t="n">
        <v>15000</v>
      </c>
      <c r="H465" s="10" t="n">
        <v>15000</v>
      </c>
      <c r="I465" s="11" t="s">
        <v>1104</v>
      </c>
      <c r="J465" s="9" t="s">
        <v>760</v>
      </c>
      <c r="K465" s="9" t="s">
        <v>10</v>
      </c>
      <c r="L465" s="9" t="s">
        <v>10</v>
      </c>
      <c r="M465" s="9" t="n">
        <v>641.25</v>
      </c>
      <c r="N465" s="9" t="n">
        <v>1184.4</v>
      </c>
      <c r="O465" s="9" t="n">
        <v>16825.65</v>
      </c>
    </row>
    <row r="466" customFormat="false" ht="17.25" hidden="false" customHeight="false" outlineLevel="0" collapsed="false">
      <c r="B466" s="9" t="n">
        <v>2733</v>
      </c>
      <c r="C466" s="9" t="s">
        <v>1105</v>
      </c>
      <c r="D466" s="9" t="s">
        <v>1106</v>
      </c>
      <c r="E466" s="9" t="s">
        <v>222</v>
      </c>
      <c r="F466" s="10" t="s">
        <v>331</v>
      </c>
      <c r="G466" s="10" t="n">
        <v>17820</v>
      </c>
      <c r="H466" s="10" t="n">
        <v>17820</v>
      </c>
      <c r="I466" s="11" t="s">
        <v>773</v>
      </c>
      <c r="J466" s="9" t="s">
        <v>773</v>
      </c>
      <c r="K466" s="9" t="s">
        <v>3</v>
      </c>
      <c r="L466" s="9" t="s">
        <v>3</v>
      </c>
      <c r="M466" s="9" t="n">
        <v>761.805</v>
      </c>
      <c r="N466" s="9" t="n">
        <v>1407.0672</v>
      </c>
      <c r="O466" s="9" t="n">
        <v>19988.8722</v>
      </c>
    </row>
    <row r="467" customFormat="false" ht="17.25" hidden="false" customHeight="false" outlineLevel="0" collapsed="false">
      <c r="B467" s="9" t="n">
        <v>2784</v>
      </c>
      <c r="C467" s="9" t="s">
        <v>1107</v>
      </c>
      <c r="D467" s="9" t="s">
        <v>619</v>
      </c>
      <c r="E467" s="9" t="s">
        <v>1108</v>
      </c>
      <c r="F467" s="10" t="s">
        <v>299</v>
      </c>
      <c r="G467" s="10" t="n">
        <v>20230</v>
      </c>
      <c r="H467" s="10" t="n">
        <v>20230</v>
      </c>
      <c r="I467" s="11" t="s">
        <v>738</v>
      </c>
      <c r="J467" s="9" t="s">
        <v>739</v>
      </c>
      <c r="K467" s="9" t="s">
        <v>10</v>
      </c>
      <c r="L467" s="9" t="s">
        <v>13</v>
      </c>
      <c r="M467" s="9" t="n">
        <v>864.8325</v>
      </c>
      <c r="N467" s="9" t="n">
        <v>1597.3608</v>
      </c>
      <c r="O467" s="9" t="n">
        <v>22692.1933</v>
      </c>
    </row>
    <row r="468" customFormat="false" ht="17.25" hidden="false" customHeight="false" outlineLevel="0" collapsed="false">
      <c r="B468" s="9" t="n">
        <v>2798</v>
      </c>
      <c r="C468" s="9" t="s">
        <v>1109</v>
      </c>
      <c r="D468" s="9" t="s">
        <v>1110</v>
      </c>
      <c r="E468" s="9" t="s">
        <v>205</v>
      </c>
      <c r="F468" s="10" t="s">
        <v>299</v>
      </c>
      <c r="G468" s="10" t="n">
        <v>22530</v>
      </c>
      <c r="H468" s="10" t="n">
        <v>22530</v>
      </c>
      <c r="I468" s="11" t="s">
        <v>1028</v>
      </c>
      <c r="J468" s="9" t="s">
        <v>1028</v>
      </c>
      <c r="K468" s="9" t="s">
        <v>10</v>
      </c>
      <c r="L468" s="9" t="s">
        <v>13</v>
      </c>
      <c r="M468" s="9" t="n">
        <v>963.1575</v>
      </c>
      <c r="N468" s="9" t="n">
        <v>1778.9688</v>
      </c>
      <c r="O468" s="9" t="n">
        <v>25272.1263</v>
      </c>
    </row>
    <row r="469" customFormat="false" ht="17.25" hidden="false" customHeight="false" outlineLevel="0" collapsed="false">
      <c r="B469" s="9" t="n">
        <v>2802</v>
      </c>
      <c r="C469" s="9" t="s">
        <v>1111</v>
      </c>
      <c r="D469" s="9" t="s">
        <v>1112</v>
      </c>
      <c r="E469" s="9" t="s">
        <v>1113</v>
      </c>
      <c r="F469" s="10" t="s">
        <v>331</v>
      </c>
      <c r="G469" s="10" t="n">
        <v>19520</v>
      </c>
      <c r="H469" s="10" t="n">
        <v>19520</v>
      </c>
      <c r="I469" s="11" t="s">
        <v>773</v>
      </c>
      <c r="J469" s="9" t="s">
        <v>773</v>
      </c>
      <c r="K469" s="9" t="s">
        <v>10</v>
      </c>
      <c r="L469" s="9" t="s">
        <v>10</v>
      </c>
      <c r="M469" s="9" t="n">
        <v>834.48</v>
      </c>
      <c r="N469" s="9" t="n">
        <v>1541.2992</v>
      </c>
      <c r="O469" s="9" t="n">
        <v>21895.7792</v>
      </c>
    </row>
    <row r="470" customFormat="false" ht="17.25" hidden="false" customHeight="false" outlineLevel="0" collapsed="false">
      <c r="B470" s="9" t="n">
        <v>2821</v>
      </c>
      <c r="C470" s="9" t="s">
        <v>1114</v>
      </c>
      <c r="D470" s="9" t="s">
        <v>849</v>
      </c>
      <c r="E470" s="9" t="s">
        <v>1115</v>
      </c>
      <c r="F470" s="10" t="s">
        <v>79</v>
      </c>
      <c r="G470" s="10" t="n">
        <v>16480</v>
      </c>
      <c r="H470" s="10" t="n">
        <v>16480</v>
      </c>
      <c r="I470" s="11" t="s">
        <v>1027</v>
      </c>
      <c r="J470" s="9" t="s">
        <v>1028</v>
      </c>
      <c r="K470" s="9" t="s">
        <v>3</v>
      </c>
      <c r="L470" s="9" t="s">
        <v>13</v>
      </c>
      <c r="M470" s="9" t="n">
        <v>704.52</v>
      </c>
      <c r="N470" s="9" t="n">
        <v>1301.2608</v>
      </c>
      <c r="O470" s="9" t="n">
        <v>18485.7808</v>
      </c>
    </row>
    <row r="471" customFormat="false" ht="17.25" hidden="false" customHeight="false" outlineLevel="0" collapsed="false">
      <c r="B471" s="9" t="n">
        <v>2824</v>
      </c>
      <c r="C471" s="9" t="s">
        <v>1116</v>
      </c>
      <c r="D471" s="9" t="s">
        <v>780</v>
      </c>
      <c r="E471" s="9" t="s">
        <v>1117</v>
      </c>
      <c r="F471" s="10" t="s">
        <v>109</v>
      </c>
      <c r="G471" s="10" t="n">
        <v>16500</v>
      </c>
      <c r="H471" s="10" t="n">
        <v>16500</v>
      </c>
      <c r="I471" s="11" t="s">
        <v>926</v>
      </c>
      <c r="J471" s="9" t="s">
        <v>926</v>
      </c>
      <c r="K471" s="9" t="s">
        <v>10</v>
      </c>
      <c r="L471" s="9" t="s">
        <v>13</v>
      </c>
      <c r="M471" s="9" t="n">
        <v>705.375</v>
      </c>
      <c r="N471" s="9" t="n">
        <v>1302.84</v>
      </c>
      <c r="O471" s="9" t="n">
        <v>18508.215</v>
      </c>
    </row>
    <row r="472" customFormat="false" ht="17.25" hidden="false" customHeight="false" outlineLevel="0" collapsed="false">
      <c r="B472" s="9" t="n">
        <v>2827</v>
      </c>
      <c r="C472" s="9" t="s">
        <v>1118</v>
      </c>
      <c r="D472" s="9" t="s">
        <v>766</v>
      </c>
      <c r="E472" s="9" t="s">
        <v>1119</v>
      </c>
      <c r="F472" s="10" t="s">
        <v>64</v>
      </c>
      <c r="G472" s="10" t="n">
        <v>41170</v>
      </c>
      <c r="H472" s="10" t="n">
        <v>41170</v>
      </c>
      <c r="I472" s="11" t="s">
        <v>839</v>
      </c>
      <c r="J472" s="9" t="s">
        <v>839</v>
      </c>
      <c r="K472" s="9" t="s">
        <v>10</v>
      </c>
      <c r="L472" s="9" t="s">
        <v>13</v>
      </c>
      <c r="M472" s="9" t="n">
        <v>0</v>
      </c>
      <c r="N472" s="9" t="n">
        <v>1974</v>
      </c>
      <c r="O472" s="9" t="n">
        <v>43144</v>
      </c>
    </row>
    <row r="473" customFormat="false" ht="17.25" hidden="false" customHeight="false" outlineLevel="0" collapsed="false">
      <c r="B473" s="9" t="n">
        <v>2869</v>
      </c>
      <c r="C473" s="9" t="s">
        <v>1120</v>
      </c>
      <c r="D473" s="9" t="s">
        <v>754</v>
      </c>
      <c r="E473" s="9" t="s">
        <v>1121</v>
      </c>
      <c r="F473" s="10" t="s">
        <v>87</v>
      </c>
      <c r="G473" s="10" t="n">
        <v>22510</v>
      </c>
      <c r="H473" s="10" t="n">
        <v>22510</v>
      </c>
      <c r="I473" s="11" t="s">
        <v>1041</v>
      </c>
      <c r="J473" s="9" t="s">
        <v>1041</v>
      </c>
      <c r="K473" s="9" t="s">
        <v>10</v>
      </c>
      <c r="L473" s="9" t="s">
        <v>13</v>
      </c>
      <c r="M473" s="9" t="n">
        <v>962.3025</v>
      </c>
      <c r="N473" s="9" t="n">
        <v>1777.3896</v>
      </c>
      <c r="O473" s="9" t="n">
        <v>25249.6921</v>
      </c>
    </row>
    <row r="474" customFormat="false" ht="17.25" hidden="false" customHeight="false" outlineLevel="0" collapsed="false">
      <c r="B474" s="9" t="n">
        <v>2883</v>
      </c>
      <c r="C474" s="9" t="s">
        <v>1122</v>
      </c>
      <c r="D474" s="9" t="s">
        <v>820</v>
      </c>
      <c r="E474" s="9" t="s">
        <v>213</v>
      </c>
      <c r="F474" s="10" t="s">
        <v>61</v>
      </c>
      <c r="G474" s="10" t="n">
        <v>70390</v>
      </c>
      <c r="H474" s="10" t="n">
        <v>70390</v>
      </c>
      <c r="I474" s="11" t="s">
        <v>773</v>
      </c>
      <c r="J474" s="9" t="s">
        <v>774</v>
      </c>
      <c r="K474" s="9" t="s">
        <v>8</v>
      </c>
      <c r="L474" s="9" t="s">
        <v>844</v>
      </c>
      <c r="M474" s="9" t="n">
        <v>0</v>
      </c>
      <c r="N474" s="9" t="n">
        <v>1974</v>
      </c>
      <c r="O474" s="9" t="n">
        <v>72364</v>
      </c>
    </row>
    <row r="475" customFormat="false" ht="17.25" hidden="false" customHeight="false" outlineLevel="0" collapsed="false">
      <c r="B475" s="9" t="n">
        <v>2929</v>
      </c>
      <c r="C475" s="9" t="s">
        <v>1123</v>
      </c>
      <c r="D475" s="9" t="s">
        <v>787</v>
      </c>
      <c r="E475" s="9" t="s">
        <v>1124</v>
      </c>
      <c r="F475" s="10" t="s">
        <v>299</v>
      </c>
      <c r="G475" s="10" t="n">
        <v>15780</v>
      </c>
      <c r="H475" s="10" t="n">
        <v>15780</v>
      </c>
      <c r="I475" s="11" t="s">
        <v>1086</v>
      </c>
      <c r="J475" s="9" t="s">
        <v>734</v>
      </c>
      <c r="K475" s="9" t="s">
        <v>10</v>
      </c>
      <c r="L475" s="9" t="s">
        <v>13</v>
      </c>
      <c r="M475" s="9" t="n">
        <v>674.595</v>
      </c>
      <c r="N475" s="9" t="n">
        <v>1245.9888</v>
      </c>
      <c r="O475" s="9" t="n">
        <v>17700.5838</v>
      </c>
    </row>
    <row r="476" customFormat="false" ht="17.25" hidden="false" customHeight="false" outlineLevel="0" collapsed="false">
      <c r="B476" s="9" t="n">
        <v>2936</v>
      </c>
      <c r="C476" s="9" t="s">
        <v>1125</v>
      </c>
      <c r="D476" s="9" t="s">
        <v>584</v>
      </c>
      <c r="E476" s="9" t="s">
        <v>216</v>
      </c>
      <c r="F476" s="10" t="s">
        <v>109</v>
      </c>
      <c r="G476" s="10" t="n">
        <v>16760</v>
      </c>
      <c r="H476" s="10" t="n">
        <v>16760</v>
      </c>
      <c r="I476" s="11" t="s">
        <v>688</v>
      </c>
      <c r="J476" s="9" t="s">
        <v>688</v>
      </c>
      <c r="K476" s="9" t="s">
        <v>8</v>
      </c>
      <c r="L476" s="9" t="s">
        <v>8</v>
      </c>
      <c r="M476" s="9" t="n">
        <v>716.49</v>
      </c>
      <c r="N476" s="9" t="n">
        <v>1323.3696</v>
      </c>
      <c r="O476" s="9" t="n">
        <v>18799.8596</v>
      </c>
    </row>
    <row r="477" customFormat="false" ht="17.25" hidden="false" customHeight="false" outlineLevel="0" collapsed="false">
      <c r="B477" s="9" t="n">
        <v>2944</v>
      </c>
      <c r="C477" s="9" t="s">
        <v>1126</v>
      </c>
      <c r="D477" s="9" t="s">
        <v>584</v>
      </c>
      <c r="E477" s="9" t="s">
        <v>1127</v>
      </c>
      <c r="F477" s="10" t="s">
        <v>109</v>
      </c>
      <c r="G477" s="10" t="n">
        <v>15290</v>
      </c>
      <c r="H477" s="10" t="n">
        <v>15290</v>
      </c>
      <c r="I477" s="11" t="s">
        <v>759</v>
      </c>
      <c r="J477" s="9" t="s">
        <v>760</v>
      </c>
      <c r="K477" s="9" t="s">
        <v>8</v>
      </c>
      <c r="L477" s="9" t="s">
        <v>4</v>
      </c>
      <c r="M477" s="9" t="n">
        <v>653.6475</v>
      </c>
      <c r="N477" s="9" t="n">
        <v>1207.2984</v>
      </c>
      <c r="O477" s="9" t="n">
        <v>17150.9459</v>
      </c>
    </row>
    <row r="478" customFormat="false" ht="17.25" hidden="false" customHeight="false" outlineLevel="0" collapsed="false">
      <c r="B478" s="9" t="n">
        <v>2985</v>
      </c>
      <c r="C478" s="9" t="s">
        <v>1128</v>
      </c>
      <c r="D478" s="9" t="s">
        <v>849</v>
      </c>
      <c r="E478" s="9" t="s">
        <v>1129</v>
      </c>
      <c r="F478" s="10" t="s">
        <v>79</v>
      </c>
      <c r="G478" s="10" t="n">
        <v>16480</v>
      </c>
      <c r="H478" s="10" t="n">
        <v>6592</v>
      </c>
      <c r="I478" s="11" t="s">
        <v>1028</v>
      </c>
      <c r="J478" s="9" t="s">
        <v>1028</v>
      </c>
      <c r="K478" s="9" t="s">
        <v>10</v>
      </c>
      <c r="L478" s="9" t="s">
        <v>10</v>
      </c>
      <c r="M478" s="9" t="n">
        <v>281.808</v>
      </c>
      <c r="N478" s="9" t="n">
        <v>520.50432</v>
      </c>
      <c r="O478" s="9" t="n">
        <v>7394.31232</v>
      </c>
    </row>
    <row r="479" customFormat="false" ht="17.25" hidden="false" customHeight="false" outlineLevel="0" collapsed="false">
      <c r="B479" s="9" t="n">
        <v>2988</v>
      </c>
      <c r="C479" s="9" t="s">
        <v>1130</v>
      </c>
      <c r="D479" s="9" t="s">
        <v>584</v>
      </c>
      <c r="E479" s="9" t="s">
        <v>1131</v>
      </c>
      <c r="F479" s="10" t="s">
        <v>109</v>
      </c>
      <c r="G479" s="10" t="n">
        <v>14100</v>
      </c>
      <c r="H479" s="10" t="n">
        <v>9400</v>
      </c>
      <c r="I479" s="11" t="s">
        <v>905</v>
      </c>
      <c r="J479" s="9" t="s">
        <v>739</v>
      </c>
      <c r="K479" s="9" t="s">
        <v>10</v>
      </c>
      <c r="L479" s="9" t="s">
        <v>10</v>
      </c>
      <c r="M479" s="9" t="n">
        <v>401.85</v>
      </c>
      <c r="N479" s="9" t="n">
        <v>742.224</v>
      </c>
      <c r="O479" s="9" t="n">
        <v>10544.074</v>
      </c>
    </row>
    <row r="480" customFormat="false" ht="17.25" hidden="false" customHeight="false" outlineLevel="0" collapsed="false">
      <c r="B480" s="9" t="n">
        <v>3010</v>
      </c>
      <c r="C480" s="9" t="s">
        <v>1132</v>
      </c>
      <c r="D480" s="9" t="s">
        <v>849</v>
      </c>
      <c r="E480" s="9" t="s">
        <v>1133</v>
      </c>
      <c r="F480" s="10" t="s">
        <v>79</v>
      </c>
      <c r="G480" s="10" t="n">
        <v>17430</v>
      </c>
      <c r="H480" s="10" t="n">
        <v>17430</v>
      </c>
      <c r="I480" s="11" t="s">
        <v>1028</v>
      </c>
      <c r="J480" s="9" t="s">
        <v>1028</v>
      </c>
      <c r="K480" s="9" t="s">
        <v>10</v>
      </c>
      <c r="L480" s="9" t="s">
        <v>13</v>
      </c>
      <c r="M480" s="9" t="n">
        <v>745.1325</v>
      </c>
      <c r="N480" s="9" t="n">
        <v>1376.2728</v>
      </c>
      <c r="O480" s="9" t="n">
        <v>19551.4053</v>
      </c>
    </row>
    <row r="481" customFormat="false" ht="17.25" hidden="false" customHeight="false" outlineLevel="0" collapsed="false">
      <c r="B481" s="9" t="n">
        <v>3023</v>
      </c>
      <c r="C481" s="9" t="s">
        <v>1134</v>
      </c>
      <c r="D481" s="9" t="s">
        <v>895</v>
      </c>
      <c r="E481" s="9" t="s">
        <v>1135</v>
      </c>
      <c r="F481" s="10" t="s">
        <v>299</v>
      </c>
      <c r="G481" s="10" t="n">
        <v>20670</v>
      </c>
      <c r="H481" s="10" t="n">
        <v>9646</v>
      </c>
      <c r="I481" s="11" t="s">
        <v>799</v>
      </c>
      <c r="J481" s="9" t="s">
        <v>739</v>
      </c>
      <c r="K481" s="9" t="s">
        <v>3</v>
      </c>
      <c r="L481" s="9" t="s">
        <v>10</v>
      </c>
      <c r="M481" s="9" t="n">
        <v>412.3665</v>
      </c>
      <c r="N481" s="9" t="n">
        <v>761.64816</v>
      </c>
      <c r="O481" s="9" t="n">
        <v>10820.01466</v>
      </c>
    </row>
    <row r="482" customFormat="false" ht="17.25" hidden="false" customHeight="false" outlineLevel="0" collapsed="false">
      <c r="B482" s="9" t="n">
        <v>3056</v>
      </c>
      <c r="C482" s="9" t="s">
        <v>1136</v>
      </c>
      <c r="D482" s="9" t="s">
        <v>811</v>
      </c>
      <c r="E482" s="9" t="s">
        <v>1137</v>
      </c>
      <c r="F482" s="10" t="s">
        <v>58</v>
      </c>
      <c r="G482" s="10" t="n">
        <v>35970</v>
      </c>
      <c r="H482" s="10" t="n">
        <v>35970</v>
      </c>
      <c r="I482" s="11" t="s">
        <v>834</v>
      </c>
      <c r="J482" s="9" t="s">
        <v>834</v>
      </c>
      <c r="K482" s="9" t="s">
        <v>10</v>
      </c>
      <c r="L482" s="9" t="s">
        <v>13</v>
      </c>
      <c r="M482" s="9" t="n">
        <v>0</v>
      </c>
      <c r="N482" s="9" t="n">
        <v>1974</v>
      </c>
      <c r="O482" s="9" t="n">
        <v>37944</v>
      </c>
    </row>
    <row r="483" customFormat="false" ht="17.25" hidden="false" customHeight="false" outlineLevel="0" collapsed="false">
      <c r="B483" s="9" t="n">
        <v>3067</v>
      </c>
      <c r="C483" s="9" t="s">
        <v>1138</v>
      </c>
      <c r="D483" s="9" t="s">
        <v>1139</v>
      </c>
      <c r="E483" s="9" t="s">
        <v>1140</v>
      </c>
      <c r="F483" s="10" t="s">
        <v>79</v>
      </c>
      <c r="G483" s="10" t="n">
        <v>16980</v>
      </c>
      <c r="H483" s="10" t="n">
        <v>16980</v>
      </c>
      <c r="I483" s="11" t="s">
        <v>773</v>
      </c>
      <c r="J483" s="9" t="s">
        <v>773</v>
      </c>
      <c r="K483" s="9" t="s">
        <v>5</v>
      </c>
      <c r="L483" s="9" t="s">
        <v>5</v>
      </c>
      <c r="M483" s="9" t="n">
        <v>806.55</v>
      </c>
      <c r="N483" s="9" t="n">
        <v>1564.1976</v>
      </c>
      <c r="O483" s="9" t="n">
        <v>19350.7476</v>
      </c>
    </row>
    <row r="484" customFormat="false" ht="17.25" hidden="false" customHeight="false" outlineLevel="0" collapsed="false">
      <c r="B484" s="9" t="n">
        <v>3068</v>
      </c>
      <c r="C484" s="9" t="s">
        <v>1141</v>
      </c>
      <c r="D484" s="9" t="s">
        <v>1142</v>
      </c>
      <c r="E484" s="9" t="s">
        <v>1143</v>
      </c>
      <c r="F484" s="10" t="s">
        <v>79</v>
      </c>
      <c r="G484" s="10" t="n">
        <v>13470</v>
      </c>
      <c r="H484" s="10" t="n">
        <v>13470</v>
      </c>
      <c r="I484" s="11" t="s">
        <v>773</v>
      </c>
      <c r="J484" s="9" t="s">
        <v>773</v>
      </c>
      <c r="K484" s="9" t="s">
        <v>5</v>
      </c>
      <c r="L484" s="9" t="s">
        <v>5</v>
      </c>
      <c r="M484" s="9" t="n">
        <v>639.825</v>
      </c>
      <c r="N484" s="9" t="n">
        <v>1240.8564</v>
      </c>
      <c r="O484" s="9" t="n">
        <v>15350.6814</v>
      </c>
    </row>
    <row r="485" customFormat="false" ht="17.25" hidden="false" customHeight="false" outlineLevel="0" collapsed="false">
      <c r="B485" s="9" t="n">
        <v>3085</v>
      </c>
      <c r="C485" s="9" t="s">
        <v>1144</v>
      </c>
      <c r="D485" s="9" t="s">
        <v>797</v>
      </c>
      <c r="E485" s="9" t="s">
        <v>237</v>
      </c>
      <c r="F485" s="10" t="s">
        <v>299</v>
      </c>
      <c r="G485" s="10" t="n">
        <v>23400</v>
      </c>
      <c r="H485" s="10" t="n">
        <v>23400</v>
      </c>
      <c r="I485" s="11" t="s">
        <v>799</v>
      </c>
      <c r="J485" s="9" t="s">
        <v>739</v>
      </c>
      <c r="K485" s="9" t="s">
        <v>8</v>
      </c>
      <c r="L485" s="9" t="s">
        <v>1145</v>
      </c>
      <c r="M485" s="9" t="n">
        <v>0</v>
      </c>
      <c r="N485" s="9" t="n">
        <v>1847.664</v>
      </c>
      <c r="O485" s="9" t="n">
        <v>25247.664</v>
      </c>
    </row>
    <row r="486" customFormat="false" ht="17.25" hidden="false" customHeight="false" outlineLevel="0" collapsed="false">
      <c r="B486" s="9" t="n">
        <v>3098</v>
      </c>
      <c r="C486" s="9" t="s">
        <v>1146</v>
      </c>
      <c r="D486" s="9" t="s">
        <v>1147</v>
      </c>
      <c r="E486" s="9" t="s">
        <v>1148</v>
      </c>
      <c r="F486" s="10" t="s">
        <v>299</v>
      </c>
      <c r="G486" s="10" t="n">
        <v>17850</v>
      </c>
      <c r="H486" s="10" t="n">
        <v>17850</v>
      </c>
      <c r="I486" s="11" t="s">
        <v>1021</v>
      </c>
      <c r="J486" s="9" t="s">
        <v>1021</v>
      </c>
      <c r="K486" s="9" t="s">
        <v>3</v>
      </c>
      <c r="L486" s="9" t="s">
        <v>13</v>
      </c>
      <c r="M486" s="9" t="n">
        <v>763.0875</v>
      </c>
      <c r="N486" s="9" t="n">
        <v>1409.436</v>
      </c>
      <c r="O486" s="9" t="n">
        <v>20022.5235</v>
      </c>
    </row>
    <row r="487" customFormat="false" ht="17.25" hidden="false" customHeight="false" outlineLevel="0" collapsed="false">
      <c r="B487" s="9" t="n">
        <v>3109</v>
      </c>
      <c r="C487" s="9" t="s">
        <v>1149</v>
      </c>
      <c r="D487" s="9" t="s">
        <v>1147</v>
      </c>
      <c r="E487" s="9" t="s">
        <v>1150</v>
      </c>
      <c r="F487" s="10" t="s">
        <v>109</v>
      </c>
      <c r="G487" s="10" t="n">
        <v>16570</v>
      </c>
      <c r="H487" s="10" t="n">
        <v>16570</v>
      </c>
      <c r="I487" s="11" t="s">
        <v>1041</v>
      </c>
      <c r="J487" s="9" t="s">
        <v>1041</v>
      </c>
      <c r="K487" s="9" t="s">
        <v>10</v>
      </c>
      <c r="L487" s="9" t="s">
        <v>13</v>
      </c>
      <c r="M487" s="9" t="n">
        <v>708.3675</v>
      </c>
      <c r="N487" s="9" t="n">
        <v>1308.3672</v>
      </c>
      <c r="O487" s="9" t="n">
        <v>18586.7347</v>
      </c>
    </row>
    <row r="488" customFormat="false" ht="17.25" hidden="false" customHeight="false" outlineLevel="0" collapsed="false">
      <c r="B488" s="9" t="n">
        <v>3126</v>
      </c>
      <c r="C488" s="9" t="s">
        <v>1151</v>
      </c>
      <c r="D488" s="9" t="s">
        <v>1152</v>
      </c>
      <c r="E488" s="9" t="s">
        <v>1153</v>
      </c>
      <c r="F488" s="10" t="s">
        <v>331</v>
      </c>
      <c r="G488" s="10" t="n">
        <v>23620</v>
      </c>
      <c r="H488" s="10" t="n">
        <v>23620</v>
      </c>
      <c r="I488" s="11" t="s">
        <v>773</v>
      </c>
      <c r="J488" s="9" t="s">
        <v>773</v>
      </c>
      <c r="K488" s="9" t="s">
        <v>10</v>
      </c>
      <c r="L488" s="9" t="s">
        <v>10</v>
      </c>
      <c r="M488" s="9" t="n">
        <v>0</v>
      </c>
      <c r="N488" s="9" t="n">
        <v>1865.0352</v>
      </c>
      <c r="O488" s="9" t="n">
        <v>25485.0352</v>
      </c>
    </row>
    <row r="489" customFormat="false" ht="17.25" hidden="false" customHeight="false" outlineLevel="0" collapsed="false">
      <c r="B489" s="9" t="n">
        <v>3128</v>
      </c>
      <c r="C489" s="9" t="s">
        <v>1154</v>
      </c>
      <c r="D489" s="9" t="s">
        <v>766</v>
      </c>
      <c r="E489" s="9" t="s">
        <v>1155</v>
      </c>
      <c r="F489" s="10" t="s">
        <v>61</v>
      </c>
      <c r="G489" s="10" t="n">
        <v>68870</v>
      </c>
      <c r="H489" s="10" t="n">
        <v>68870</v>
      </c>
      <c r="I489" s="11" t="s">
        <v>1041</v>
      </c>
      <c r="J489" s="9" t="s">
        <v>1041</v>
      </c>
      <c r="K489" s="9" t="s">
        <v>3</v>
      </c>
      <c r="L489" s="9" t="s">
        <v>13</v>
      </c>
      <c r="M489" s="9" t="n">
        <v>0</v>
      </c>
      <c r="N489" s="9" t="n">
        <v>1974</v>
      </c>
      <c r="O489" s="9" t="n">
        <v>70844</v>
      </c>
    </row>
    <row r="490" customFormat="false" ht="17.25" hidden="false" customHeight="false" outlineLevel="0" collapsed="false">
      <c r="B490" s="9" t="n">
        <v>3131</v>
      </c>
      <c r="C490" s="9" t="s">
        <v>1156</v>
      </c>
      <c r="D490" s="9" t="s">
        <v>975</v>
      </c>
      <c r="E490" s="9" t="s">
        <v>1157</v>
      </c>
      <c r="F490" s="10" t="s">
        <v>87</v>
      </c>
      <c r="G490" s="10" t="n">
        <v>24760</v>
      </c>
      <c r="H490" s="10" t="n">
        <v>24760</v>
      </c>
      <c r="I490" s="11" t="s">
        <v>773</v>
      </c>
      <c r="J490" s="9" t="s">
        <v>774</v>
      </c>
      <c r="K490" s="9" t="s">
        <v>5</v>
      </c>
      <c r="L490" s="9" t="s">
        <v>5</v>
      </c>
      <c r="M490" s="9" t="n">
        <v>0</v>
      </c>
      <c r="N490" s="9" t="n">
        <v>1974</v>
      </c>
      <c r="O490" s="9" t="n">
        <v>26734</v>
      </c>
    </row>
    <row r="491" customFormat="false" ht="17.25" hidden="false" customHeight="false" outlineLevel="0" collapsed="false">
      <c r="B491" s="9" t="n">
        <v>3146</v>
      </c>
      <c r="C491" s="9" t="s">
        <v>1158</v>
      </c>
      <c r="D491" s="9" t="s">
        <v>1159</v>
      </c>
      <c r="E491" s="9" t="s">
        <v>1160</v>
      </c>
      <c r="F491" s="10" t="s">
        <v>331</v>
      </c>
      <c r="G491" s="10" t="n">
        <v>21710</v>
      </c>
      <c r="H491" s="10" t="n">
        <v>21710</v>
      </c>
      <c r="I491" s="11" t="s">
        <v>984</v>
      </c>
      <c r="J491" s="9" t="s">
        <v>743</v>
      </c>
      <c r="K491" s="9" t="s">
        <v>10</v>
      </c>
      <c r="L491" s="9" t="s">
        <v>13</v>
      </c>
      <c r="M491" s="9" t="n">
        <v>928.1025</v>
      </c>
      <c r="N491" s="9" t="n">
        <v>1714.2216</v>
      </c>
      <c r="O491" s="9" t="n">
        <v>24352.3241</v>
      </c>
    </row>
    <row r="492" customFormat="false" ht="17.25" hidden="false" customHeight="false" outlineLevel="0" collapsed="false">
      <c r="B492" s="9" t="n">
        <v>3148</v>
      </c>
      <c r="C492" s="9" t="s">
        <v>1161</v>
      </c>
      <c r="D492" s="9" t="s">
        <v>1162</v>
      </c>
      <c r="E492" s="9" t="s">
        <v>248</v>
      </c>
      <c r="F492" s="10" t="s">
        <v>331</v>
      </c>
      <c r="G492" s="10" t="n">
        <v>13370</v>
      </c>
      <c r="H492" s="10" t="n">
        <v>13370</v>
      </c>
      <c r="I492" s="11" t="s">
        <v>773</v>
      </c>
      <c r="J492" s="9" t="s">
        <v>773</v>
      </c>
      <c r="K492" s="9" t="s">
        <v>3</v>
      </c>
      <c r="L492" s="9" t="s">
        <v>3</v>
      </c>
      <c r="M492" s="9" t="n">
        <v>571.5675</v>
      </c>
      <c r="N492" s="9" t="n">
        <v>1055.6952</v>
      </c>
      <c r="O492" s="9" t="n">
        <v>14997.2627</v>
      </c>
    </row>
    <row r="493" customFormat="false" ht="17.25" hidden="false" customHeight="false" outlineLevel="0" collapsed="false">
      <c r="B493" s="9" t="n">
        <v>3149</v>
      </c>
      <c r="C493" s="9" t="s">
        <v>1163</v>
      </c>
      <c r="D493" s="9" t="s">
        <v>787</v>
      </c>
      <c r="E493" s="9" t="s">
        <v>1160</v>
      </c>
      <c r="F493" s="10" t="s">
        <v>299</v>
      </c>
      <c r="G493" s="10" t="n">
        <v>16700</v>
      </c>
      <c r="H493" s="10" t="n">
        <v>16700</v>
      </c>
      <c r="I493" s="11" t="s">
        <v>799</v>
      </c>
      <c r="J493" s="9" t="s">
        <v>739</v>
      </c>
      <c r="K493" s="9" t="s">
        <v>3</v>
      </c>
      <c r="L493" s="9" t="s">
        <v>3</v>
      </c>
      <c r="M493" s="9" t="n">
        <v>713.925</v>
      </c>
      <c r="N493" s="9" t="n">
        <v>1318.632</v>
      </c>
      <c r="O493" s="9" t="n">
        <v>18732.557</v>
      </c>
    </row>
    <row r="494" customFormat="false" ht="17.25" hidden="false" customHeight="false" outlineLevel="0" collapsed="false">
      <c r="B494" s="9" t="n">
        <v>3169</v>
      </c>
      <c r="C494" s="9" t="s">
        <v>1164</v>
      </c>
      <c r="D494" s="9" t="s">
        <v>1165</v>
      </c>
      <c r="E494" s="9" t="s">
        <v>1166</v>
      </c>
      <c r="F494" s="10" t="s">
        <v>331</v>
      </c>
      <c r="G494" s="10" t="n">
        <v>13580</v>
      </c>
      <c r="H494" s="10" t="n">
        <v>13580</v>
      </c>
      <c r="I494" s="11" t="s">
        <v>773</v>
      </c>
      <c r="J494" s="9" t="s">
        <v>773</v>
      </c>
      <c r="K494" s="9" t="s">
        <v>3</v>
      </c>
      <c r="L494" s="9" t="s">
        <v>3</v>
      </c>
      <c r="M494" s="9" t="n">
        <v>580.545</v>
      </c>
      <c r="N494" s="9" t="n">
        <v>1072.2768</v>
      </c>
      <c r="O494" s="9" t="n">
        <v>15232.8218</v>
      </c>
    </row>
    <row r="495" customFormat="false" ht="17.25" hidden="false" customHeight="false" outlineLevel="0" collapsed="false">
      <c r="B495" s="9" t="n">
        <v>3178</v>
      </c>
      <c r="C495" s="9" t="s">
        <v>1167</v>
      </c>
      <c r="D495" s="9" t="s">
        <v>851</v>
      </c>
      <c r="E495" s="9" t="s">
        <v>652</v>
      </c>
      <c r="F495" s="10" t="s">
        <v>79</v>
      </c>
      <c r="G495" s="10" t="n">
        <v>14500</v>
      </c>
      <c r="H495" s="10" t="n">
        <v>14500</v>
      </c>
      <c r="I495" s="11" t="s">
        <v>751</v>
      </c>
      <c r="J495" s="9" t="s">
        <v>752</v>
      </c>
      <c r="K495" s="9" t="s">
        <v>5</v>
      </c>
      <c r="L495" s="9" t="s">
        <v>5</v>
      </c>
      <c r="M495" s="9" t="n">
        <v>688.75</v>
      </c>
      <c r="N495" s="9" t="n">
        <v>1335.74</v>
      </c>
      <c r="O495" s="9" t="n">
        <v>16524.49</v>
      </c>
    </row>
    <row r="496" customFormat="false" ht="17.25" hidden="false" customHeight="false" outlineLevel="0" collapsed="false">
      <c r="B496" s="9" t="n">
        <v>3188</v>
      </c>
      <c r="C496" s="9" t="s">
        <v>1168</v>
      </c>
      <c r="D496" s="9" t="s">
        <v>757</v>
      </c>
      <c r="E496" s="9" t="n">
        <v>40173</v>
      </c>
      <c r="F496" s="10" t="s">
        <v>64</v>
      </c>
      <c r="G496" s="10" t="n">
        <v>45640</v>
      </c>
      <c r="H496" s="10" t="n">
        <v>45640</v>
      </c>
      <c r="I496" s="11" t="s">
        <v>742</v>
      </c>
      <c r="J496" s="9" t="s">
        <v>743</v>
      </c>
      <c r="K496" s="9" t="s">
        <v>8</v>
      </c>
      <c r="L496" s="9" t="s">
        <v>5</v>
      </c>
      <c r="M496" s="9" t="n">
        <v>0</v>
      </c>
      <c r="N496" s="9" t="n">
        <v>1974</v>
      </c>
      <c r="O496" s="9" t="n">
        <v>47614</v>
      </c>
    </row>
    <row r="497" customFormat="false" ht="17.25" hidden="false" customHeight="false" outlineLevel="0" collapsed="false">
      <c r="B497" s="9" t="n">
        <v>3192</v>
      </c>
      <c r="C497" s="9" t="s">
        <v>1169</v>
      </c>
      <c r="D497" s="9" t="s">
        <v>849</v>
      </c>
      <c r="E497" s="9" t="s">
        <v>1170</v>
      </c>
      <c r="F497" s="10" t="s">
        <v>79</v>
      </c>
      <c r="G497" s="10" t="n">
        <v>21420</v>
      </c>
      <c r="H497" s="10" t="n">
        <v>21420</v>
      </c>
      <c r="I497" s="11" t="s">
        <v>773</v>
      </c>
      <c r="J497" s="9" t="s">
        <v>773</v>
      </c>
      <c r="K497" s="9" t="s">
        <v>8</v>
      </c>
      <c r="L497" s="9" t="s">
        <v>8</v>
      </c>
      <c r="M497" s="9" t="n">
        <v>915.705</v>
      </c>
      <c r="N497" s="9" t="n">
        <v>1691.3232</v>
      </c>
      <c r="O497" s="9" t="n">
        <v>24027.0282</v>
      </c>
    </row>
    <row r="498" customFormat="false" ht="17.25" hidden="false" customHeight="false" outlineLevel="0" collapsed="false">
      <c r="B498" s="9" t="n">
        <v>3201</v>
      </c>
      <c r="C498" s="9" t="s">
        <v>1171</v>
      </c>
      <c r="D498" s="9" t="s">
        <v>619</v>
      </c>
      <c r="E498" s="9" t="s">
        <v>1172</v>
      </c>
      <c r="F498" s="10" t="s">
        <v>299</v>
      </c>
      <c r="G498" s="10" t="n">
        <v>16030</v>
      </c>
      <c r="H498" s="10" t="n">
        <v>16030</v>
      </c>
      <c r="I498" s="11" t="s">
        <v>759</v>
      </c>
      <c r="J498" s="9" t="s">
        <v>760</v>
      </c>
      <c r="K498" s="9" t="s">
        <v>3</v>
      </c>
      <c r="L498" s="9" t="s">
        <v>10</v>
      </c>
      <c r="M498" s="9" t="n">
        <v>685.2825</v>
      </c>
      <c r="N498" s="9" t="n">
        <v>1265.7288</v>
      </c>
      <c r="O498" s="9" t="n">
        <v>17981.0113</v>
      </c>
    </row>
    <row r="499" customFormat="false" ht="17.25" hidden="false" customHeight="false" outlineLevel="0" collapsed="false">
      <c r="B499" s="9" t="n">
        <v>3202</v>
      </c>
      <c r="C499" s="9" t="s">
        <v>1173</v>
      </c>
      <c r="D499" s="9" t="s">
        <v>785</v>
      </c>
      <c r="E499" s="9" t="s">
        <v>1174</v>
      </c>
      <c r="F499" s="10" t="s">
        <v>87</v>
      </c>
      <c r="G499" s="10" t="n">
        <v>25000</v>
      </c>
      <c r="H499" s="10" t="n">
        <v>25000</v>
      </c>
      <c r="I499" s="11" t="s">
        <v>759</v>
      </c>
      <c r="J499" s="9" t="s">
        <v>760</v>
      </c>
      <c r="K499" s="9" t="s">
        <v>3</v>
      </c>
      <c r="L499" s="9" t="s">
        <v>3</v>
      </c>
      <c r="M499" s="9" t="n">
        <v>0</v>
      </c>
      <c r="N499" s="9" t="n">
        <v>1974</v>
      </c>
      <c r="O499" s="9" t="n">
        <v>26974</v>
      </c>
    </row>
    <row r="500" customFormat="false" ht="17.25" hidden="false" customHeight="false" outlineLevel="0" collapsed="false">
      <c r="B500" s="9" t="n">
        <v>3210</v>
      </c>
      <c r="C500" s="9" t="s">
        <v>1175</v>
      </c>
      <c r="D500" s="9" t="s">
        <v>745</v>
      </c>
      <c r="E500" s="9" t="s">
        <v>1176</v>
      </c>
      <c r="F500" s="10" t="s">
        <v>87</v>
      </c>
      <c r="G500" s="10" t="n">
        <v>31310</v>
      </c>
      <c r="H500" s="10" t="n">
        <v>31310</v>
      </c>
      <c r="I500" s="11" t="s">
        <v>773</v>
      </c>
      <c r="J500" s="9" t="s">
        <v>774</v>
      </c>
      <c r="K500" s="9" t="s">
        <v>5</v>
      </c>
      <c r="L500" s="9" t="s">
        <v>13</v>
      </c>
      <c r="M500" s="9" t="n">
        <v>0</v>
      </c>
      <c r="N500" s="9" t="n">
        <v>1974</v>
      </c>
      <c r="O500" s="9" t="n">
        <v>33284</v>
      </c>
    </row>
    <row r="501" customFormat="false" ht="17.25" hidden="false" customHeight="false" outlineLevel="0" collapsed="false">
      <c r="B501" s="9" t="n">
        <v>3220</v>
      </c>
      <c r="C501" s="9" t="s">
        <v>1177</v>
      </c>
      <c r="D501" s="9" t="s">
        <v>1178</v>
      </c>
      <c r="E501" s="9" t="s">
        <v>1179</v>
      </c>
      <c r="F501" s="10" t="s">
        <v>299</v>
      </c>
      <c r="G501" s="10" t="n">
        <v>18940</v>
      </c>
      <c r="H501" s="10" t="n">
        <v>18940</v>
      </c>
      <c r="I501" s="11" t="s">
        <v>759</v>
      </c>
      <c r="J501" s="9" t="s">
        <v>760</v>
      </c>
      <c r="K501" s="9" t="s">
        <v>10</v>
      </c>
      <c r="L501" s="9" t="s">
        <v>10</v>
      </c>
      <c r="M501" s="9" t="n">
        <v>809.685</v>
      </c>
      <c r="N501" s="9" t="n">
        <v>1495.5024</v>
      </c>
      <c r="O501" s="9" t="n">
        <v>21245.1874</v>
      </c>
    </row>
    <row r="502" customFormat="false" ht="17.25" hidden="false" customHeight="false" outlineLevel="0" collapsed="false">
      <c r="B502" s="9" t="n">
        <v>3229</v>
      </c>
      <c r="C502" s="9" t="s">
        <v>1180</v>
      </c>
      <c r="D502" s="9" t="s">
        <v>1112</v>
      </c>
      <c r="E502" s="9" t="s">
        <v>1181</v>
      </c>
      <c r="F502" s="10" t="s">
        <v>331</v>
      </c>
      <c r="G502" s="10" t="n">
        <v>15880</v>
      </c>
      <c r="H502" s="10" t="n">
        <v>15880</v>
      </c>
      <c r="I502" s="11" t="s">
        <v>773</v>
      </c>
      <c r="J502" s="9" t="s">
        <v>773</v>
      </c>
      <c r="K502" s="9" t="s">
        <v>10</v>
      </c>
      <c r="L502" s="9" t="s">
        <v>10</v>
      </c>
      <c r="M502" s="9" t="n">
        <v>678.87</v>
      </c>
      <c r="N502" s="9" t="n">
        <v>1253.8848</v>
      </c>
      <c r="O502" s="9" t="n">
        <v>17812.7548</v>
      </c>
    </row>
    <row r="503" customFormat="false" ht="17.25" hidden="false" customHeight="false" outlineLevel="0" collapsed="false">
      <c r="B503" s="9" t="n">
        <v>3231</v>
      </c>
      <c r="C503" s="9" t="s">
        <v>1182</v>
      </c>
      <c r="D503" s="9" t="s">
        <v>1165</v>
      </c>
      <c r="E503" s="9" t="s">
        <v>361</v>
      </c>
      <c r="F503" s="10" t="s">
        <v>331</v>
      </c>
      <c r="G503" s="10" t="n">
        <v>15720</v>
      </c>
      <c r="H503" s="10" t="n">
        <v>15720</v>
      </c>
      <c r="I503" s="11" t="s">
        <v>773</v>
      </c>
      <c r="J503" s="9" t="s">
        <v>773</v>
      </c>
      <c r="K503" s="9" t="s">
        <v>3</v>
      </c>
      <c r="L503" s="9" t="s">
        <v>3</v>
      </c>
      <c r="M503" s="9" t="n">
        <v>672.03</v>
      </c>
      <c r="N503" s="9" t="n">
        <v>1241.2512</v>
      </c>
      <c r="O503" s="9" t="n">
        <v>17633.2812</v>
      </c>
    </row>
    <row r="504" customFormat="false" ht="17.25" hidden="false" customHeight="false" outlineLevel="0" collapsed="false">
      <c r="B504" s="9" t="n">
        <v>3232</v>
      </c>
      <c r="C504" s="9" t="s">
        <v>1183</v>
      </c>
      <c r="D504" s="9" t="s">
        <v>780</v>
      </c>
      <c r="E504" s="9" t="s">
        <v>1184</v>
      </c>
      <c r="F504" s="10" t="s">
        <v>299</v>
      </c>
      <c r="G504" s="10" t="n">
        <v>21660</v>
      </c>
      <c r="H504" s="10" t="n">
        <v>21660</v>
      </c>
      <c r="I504" s="11" t="s">
        <v>876</v>
      </c>
      <c r="J504" s="9" t="s">
        <v>834</v>
      </c>
      <c r="K504" s="9" t="s">
        <v>3</v>
      </c>
      <c r="L504" s="9" t="s">
        <v>13</v>
      </c>
      <c r="M504" s="9" t="n">
        <v>925.965</v>
      </c>
      <c r="N504" s="9" t="n">
        <v>1710.2736</v>
      </c>
      <c r="O504" s="9" t="n">
        <v>24296.2386</v>
      </c>
    </row>
    <row r="505" customFormat="false" ht="17.25" hidden="false" customHeight="false" outlineLevel="0" collapsed="false">
      <c r="B505" s="9" t="n">
        <v>3233</v>
      </c>
      <c r="C505" s="9" t="s">
        <v>1185</v>
      </c>
      <c r="D505" s="9" t="s">
        <v>1106</v>
      </c>
      <c r="E505" s="9" t="s">
        <v>1186</v>
      </c>
      <c r="F505" s="10" t="s">
        <v>331</v>
      </c>
      <c r="G505" s="10" t="n">
        <v>16780</v>
      </c>
      <c r="H505" s="10" t="n">
        <v>16780</v>
      </c>
      <c r="I505" s="11" t="s">
        <v>773</v>
      </c>
      <c r="J505" s="9" t="s">
        <v>773</v>
      </c>
      <c r="K505" s="9" t="s">
        <v>3</v>
      </c>
      <c r="L505" s="9" t="s">
        <v>3</v>
      </c>
      <c r="M505" s="9" t="n">
        <v>717.345</v>
      </c>
      <c r="N505" s="9" t="n">
        <v>1324.9488</v>
      </c>
      <c r="O505" s="9" t="n">
        <v>18822.2938</v>
      </c>
    </row>
    <row r="506" customFormat="false" ht="17.25" hidden="false" customHeight="false" outlineLevel="0" collapsed="false">
      <c r="B506" s="9" t="n">
        <v>3236</v>
      </c>
      <c r="C506" s="9" t="s">
        <v>1187</v>
      </c>
      <c r="D506" s="9" t="s">
        <v>849</v>
      </c>
      <c r="E506" s="9" t="s">
        <v>588</v>
      </c>
      <c r="F506" s="10" t="s">
        <v>299</v>
      </c>
      <c r="G506" s="10" t="n">
        <v>21580</v>
      </c>
      <c r="H506" s="10" t="n">
        <v>21580</v>
      </c>
      <c r="I506" s="11" t="s">
        <v>1188</v>
      </c>
      <c r="J506" s="9" t="s">
        <v>743</v>
      </c>
      <c r="K506" s="9" t="s">
        <v>3</v>
      </c>
      <c r="L506" s="9" t="s">
        <v>13</v>
      </c>
      <c r="M506" s="9" t="n">
        <v>922.545</v>
      </c>
      <c r="N506" s="9" t="n">
        <v>1703.9568</v>
      </c>
      <c r="O506" s="9" t="n">
        <v>24206.5018</v>
      </c>
    </row>
    <row r="507" customFormat="false" ht="17.25" hidden="false" customHeight="false" outlineLevel="0" collapsed="false">
      <c r="B507" s="9" t="n">
        <v>3237</v>
      </c>
      <c r="C507" s="9" t="s">
        <v>1189</v>
      </c>
      <c r="D507" s="9" t="s">
        <v>1190</v>
      </c>
      <c r="E507" s="9" t="s">
        <v>1117</v>
      </c>
      <c r="F507" s="10" t="s">
        <v>331</v>
      </c>
      <c r="G507" s="10" t="n">
        <v>16090</v>
      </c>
      <c r="H507" s="10" t="n">
        <v>16090</v>
      </c>
      <c r="I507" s="11" t="s">
        <v>773</v>
      </c>
      <c r="J507" s="9" t="s">
        <v>773</v>
      </c>
      <c r="K507" s="9" t="s">
        <v>3</v>
      </c>
      <c r="L507" s="9" t="s">
        <v>735</v>
      </c>
      <c r="M507" s="9" t="n">
        <v>687.8475</v>
      </c>
      <c r="N507" s="9" t="n">
        <v>1270.4664</v>
      </c>
      <c r="O507" s="9" t="n">
        <v>18048.3139</v>
      </c>
    </row>
    <row r="508" customFormat="false" ht="17.25" hidden="false" customHeight="false" outlineLevel="0" collapsed="false">
      <c r="B508" s="9" t="n">
        <v>3258</v>
      </c>
      <c r="C508" s="9" t="s">
        <v>1191</v>
      </c>
      <c r="D508" s="9" t="s">
        <v>754</v>
      </c>
      <c r="E508" s="9" t="s">
        <v>1192</v>
      </c>
      <c r="F508" s="10" t="s">
        <v>299</v>
      </c>
      <c r="G508" s="10" t="n">
        <v>20960</v>
      </c>
      <c r="H508" s="10" t="n">
        <v>20960</v>
      </c>
      <c r="I508" s="11" t="s">
        <v>795</v>
      </c>
      <c r="J508" s="9" t="s">
        <v>734</v>
      </c>
      <c r="K508" s="9" t="s">
        <v>3</v>
      </c>
      <c r="L508" s="9" t="s">
        <v>8</v>
      </c>
      <c r="M508" s="9" t="n">
        <v>896.04</v>
      </c>
      <c r="N508" s="9" t="n">
        <v>1655.0016</v>
      </c>
      <c r="O508" s="9" t="n">
        <v>23511.0416</v>
      </c>
    </row>
    <row r="509" customFormat="false" ht="17.25" hidden="false" customHeight="false" outlineLevel="0" collapsed="false">
      <c r="B509" s="9" t="n">
        <v>3266</v>
      </c>
      <c r="C509" s="9" t="s">
        <v>1193</v>
      </c>
      <c r="D509" s="9" t="s">
        <v>584</v>
      </c>
      <c r="E509" s="9" t="s">
        <v>1194</v>
      </c>
      <c r="F509" s="10" t="s">
        <v>338</v>
      </c>
      <c r="G509" s="10" t="n">
        <v>11700</v>
      </c>
      <c r="H509" s="10" t="n">
        <v>11700</v>
      </c>
      <c r="I509" s="11" t="s">
        <v>799</v>
      </c>
      <c r="J509" s="9" t="s">
        <v>739</v>
      </c>
      <c r="K509" s="9" t="s">
        <v>10</v>
      </c>
      <c r="L509" s="9" t="s">
        <v>10</v>
      </c>
      <c r="M509" s="9" t="n">
        <v>500.175</v>
      </c>
      <c r="N509" s="9" t="n">
        <v>923.832</v>
      </c>
      <c r="O509" s="9" t="n">
        <v>13124.007</v>
      </c>
    </row>
    <row r="510" customFormat="false" ht="17.25" hidden="false" customHeight="false" outlineLevel="0" collapsed="false">
      <c r="B510" s="9" t="n">
        <v>3301</v>
      </c>
      <c r="C510" s="9" t="s">
        <v>1195</v>
      </c>
      <c r="D510" s="9" t="s">
        <v>1196</v>
      </c>
      <c r="E510" s="9" t="s">
        <v>1197</v>
      </c>
      <c r="F510" s="10" t="s">
        <v>146</v>
      </c>
      <c r="G510" s="10" t="n">
        <v>102630</v>
      </c>
      <c r="H510" s="10" t="n">
        <v>102630</v>
      </c>
      <c r="I510" s="11" t="s">
        <v>1198</v>
      </c>
      <c r="J510" s="9" t="s">
        <v>760</v>
      </c>
      <c r="K510" s="9" t="s">
        <v>10</v>
      </c>
      <c r="L510" s="9" t="s">
        <v>13</v>
      </c>
      <c r="M510" s="9" t="n">
        <v>0</v>
      </c>
      <c r="N510" s="9" t="n">
        <v>1974</v>
      </c>
      <c r="O510" s="9" t="n">
        <v>104604</v>
      </c>
    </row>
    <row r="511" customFormat="false" ht="17.25" hidden="false" customHeight="false" outlineLevel="0" collapsed="false">
      <c r="B511" s="9" t="n">
        <v>3314</v>
      </c>
      <c r="C511" s="9" t="s">
        <v>1199</v>
      </c>
      <c r="D511" s="9" t="s">
        <v>1007</v>
      </c>
      <c r="E511" s="9" t="s">
        <v>1200</v>
      </c>
      <c r="F511" s="10" t="s">
        <v>109</v>
      </c>
      <c r="G511" s="10" t="n">
        <v>14190</v>
      </c>
      <c r="H511" s="10" t="n">
        <v>14190</v>
      </c>
      <c r="I511" s="11" t="s">
        <v>799</v>
      </c>
      <c r="J511" s="9" t="s">
        <v>739</v>
      </c>
      <c r="K511" s="9" t="s">
        <v>10</v>
      </c>
      <c r="L511" s="9" t="s">
        <v>10</v>
      </c>
      <c r="M511" s="9" t="n">
        <v>606.6225</v>
      </c>
      <c r="N511" s="9" t="n">
        <v>1120.4424</v>
      </c>
      <c r="O511" s="9" t="n">
        <v>15917.0649</v>
      </c>
    </row>
    <row r="512" customFormat="false" ht="17.25" hidden="false" customHeight="false" outlineLevel="0" collapsed="false">
      <c r="B512" s="9" t="n">
        <v>3318</v>
      </c>
      <c r="C512" s="9" t="s">
        <v>1201</v>
      </c>
      <c r="D512" s="9" t="s">
        <v>849</v>
      </c>
      <c r="E512" s="9" t="s">
        <v>628</v>
      </c>
      <c r="F512" s="10" t="s">
        <v>299</v>
      </c>
      <c r="G512" s="10" t="n">
        <v>18060</v>
      </c>
      <c r="H512" s="10" t="n">
        <v>18060</v>
      </c>
      <c r="I512" s="11" t="s">
        <v>773</v>
      </c>
      <c r="J512" s="9" t="s">
        <v>773</v>
      </c>
      <c r="K512" s="9" t="s">
        <v>8</v>
      </c>
      <c r="L512" s="9" t="s">
        <v>8</v>
      </c>
      <c r="M512" s="9" t="n">
        <v>772.065</v>
      </c>
      <c r="N512" s="9" t="n">
        <v>1426.0176</v>
      </c>
      <c r="O512" s="9" t="n">
        <v>20258.0826</v>
      </c>
    </row>
    <row r="513" customFormat="false" ht="17.25" hidden="false" customHeight="false" outlineLevel="0" collapsed="false">
      <c r="B513" s="9" t="n">
        <v>3332</v>
      </c>
      <c r="C513" s="9" t="s">
        <v>1202</v>
      </c>
      <c r="D513" s="9" t="s">
        <v>732</v>
      </c>
      <c r="E513" s="9" t="s">
        <v>278</v>
      </c>
      <c r="F513" s="10" t="s">
        <v>61</v>
      </c>
      <c r="G513" s="10" t="n">
        <v>54490</v>
      </c>
      <c r="H513" s="10" t="n">
        <v>54490</v>
      </c>
      <c r="I513" s="11" t="s">
        <v>751</v>
      </c>
      <c r="J513" s="9" t="s">
        <v>752</v>
      </c>
      <c r="K513" s="9" t="s">
        <v>10</v>
      </c>
      <c r="L513" s="9" t="s">
        <v>10</v>
      </c>
      <c r="M513" s="9" t="n">
        <v>0</v>
      </c>
      <c r="N513" s="9" t="n">
        <v>1974</v>
      </c>
      <c r="O513" s="9" t="n">
        <v>56464</v>
      </c>
    </row>
    <row r="514" customFormat="false" ht="17.25" hidden="false" customHeight="false" outlineLevel="0" collapsed="false">
      <c r="B514" s="9" t="n">
        <v>3344</v>
      </c>
      <c r="C514" s="9" t="s">
        <v>1203</v>
      </c>
      <c r="D514" s="9" t="s">
        <v>1007</v>
      </c>
      <c r="E514" s="9" t="s">
        <v>302</v>
      </c>
      <c r="F514" s="10" t="s">
        <v>109</v>
      </c>
      <c r="G514" s="10" t="n">
        <v>11980</v>
      </c>
      <c r="H514" s="10" t="n">
        <v>11980</v>
      </c>
      <c r="I514" s="11" t="s">
        <v>799</v>
      </c>
      <c r="J514" s="9" t="s">
        <v>739</v>
      </c>
      <c r="K514" s="9" t="s">
        <v>10</v>
      </c>
      <c r="L514" s="9" t="s">
        <v>10</v>
      </c>
      <c r="M514" s="9" t="n">
        <v>512.145</v>
      </c>
      <c r="N514" s="9" t="n">
        <v>945.9408</v>
      </c>
      <c r="O514" s="9" t="n">
        <v>13438.0858</v>
      </c>
    </row>
    <row r="515" customFormat="false" ht="17.25" hidden="false" customHeight="false" outlineLevel="0" collapsed="false">
      <c r="B515" s="9" t="n">
        <v>3349</v>
      </c>
      <c r="C515" s="9" t="s">
        <v>1204</v>
      </c>
      <c r="D515" s="9" t="s">
        <v>1205</v>
      </c>
      <c r="E515" s="9" t="s">
        <v>278</v>
      </c>
      <c r="F515" s="10" t="s">
        <v>109</v>
      </c>
      <c r="G515" s="10" t="n">
        <v>12320</v>
      </c>
      <c r="H515" s="10" t="n">
        <v>12320</v>
      </c>
      <c r="I515" s="11" t="s">
        <v>839</v>
      </c>
      <c r="J515" s="9" t="s">
        <v>839</v>
      </c>
      <c r="K515" s="9" t="s">
        <v>8</v>
      </c>
      <c r="L515" s="9" t="s">
        <v>8</v>
      </c>
      <c r="M515" s="9" t="n">
        <v>526.68</v>
      </c>
      <c r="N515" s="9" t="n">
        <v>972.7872</v>
      </c>
      <c r="O515" s="9" t="n">
        <v>13819.4672</v>
      </c>
    </row>
    <row r="516" customFormat="false" ht="17.25" hidden="false" customHeight="false" outlineLevel="0" collapsed="false">
      <c r="B516" s="9" t="n">
        <v>3360</v>
      </c>
      <c r="C516" s="9" t="s">
        <v>1206</v>
      </c>
      <c r="D516" s="9" t="s">
        <v>584</v>
      </c>
      <c r="E516" s="9" t="s">
        <v>302</v>
      </c>
      <c r="F516" s="10" t="s">
        <v>331</v>
      </c>
      <c r="G516" s="10" t="n">
        <v>10580</v>
      </c>
      <c r="H516" s="10" t="n">
        <v>10580</v>
      </c>
      <c r="I516" s="11" t="s">
        <v>984</v>
      </c>
      <c r="J516" s="9" t="s">
        <v>743</v>
      </c>
      <c r="K516" s="9" t="s">
        <v>5</v>
      </c>
      <c r="L516" s="9" t="s">
        <v>5</v>
      </c>
      <c r="M516" s="9" t="n">
        <v>502.55</v>
      </c>
      <c r="N516" s="9" t="n">
        <v>974.6296</v>
      </c>
      <c r="O516" s="9" t="n">
        <v>12057.1796</v>
      </c>
    </row>
    <row r="517" customFormat="false" ht="17.25" hidden="false" customHeight="false" outlineLevel="0" collapsed="false">
      <c r="B517" s="9" t="n">
        <v>3362</v>
      </c>
      <c r="C517" s="9" t="s">
        <v>1207</v>
      </c>
      <c r="D517" s="9" t="s">
        <v>1007</v>
      </c>
      <c r="E517" s="9" t="s">
        <v>1208</v>
      </c>
      <c r="F517" s="10" t="s">
        <v>109</v>
      </c>
      <c r="G517" s="10" t="n">
        <v>15000</v>
      </c>
      <c r="H517" s="10" t="n">
        <v>15000</v>
      </c>
      <c r="I517" s="11" t="s">
        <v>799</v>
      </c>
      <c r="J517" s="9" t="s">
        <v>739</v>
      </c>
      <c r="K517" s="9" t="s">
        <v>8</v>
      </c>
      <c r="L517" s="9" t="s">
        <v>8</v>
      </c>
      <c r="M517" s="9" t="n">
        <v>641.25</v>
      </c>
      <c r="N517" s="9" t="n">
        <v>1184.4</v>
      </c>
      <c r="O517" s="9" t="n">
        <v>16825.65</v>
      </c>
    </row>
    <row r="518" customFormat="false" ht="17.25" hidden="false" customHeight="false" outlineLevel="0" collapsed="false">
      <c r="B518" s="9" t="n">
        <v>3373</v>
      </c>
      <c r="C518" s="9" t="s">
        <v>1209</v>
      </c>
      <c r="D518" s="9" t="s">
        <v>584</v>
      </c>
      <c r="E518" s="9" t="s">
        <v>1210</v>
      </c>
      <c r="F518" s="10" t="s">
        <v>109</v>
      </c>
      <c r="G518" s="10" t="n">
        <v>13720</v>
      </c>
      <c r="H518" s="10" t="n">
        <v>13720</v>
      </c>
      <c r="I518" s="11" t="s">
        <v>905</v>
      </c>
      <c r="J518" s="9" t="s">
        <v>739</v>
      </c>
      <c r="K518" s="9" t="s">
        <v>3</v>
      </c>
      <c r="L518" s="9" t="s">
        <v>3</v>
      </c>
      <c r="M518" s="9" t="n">
        <v>586.53</v>
      </c>
      <c r="N518" s="9" t="n">
        <v>1083.3312</v>
      </c>
      <c r="O518" s="9" t="n">
        <v>15389.8612</v>
      </c>
    </row>
    <row r="519" customFormat="false" ht="17.25" hidden="false" customHeight="false" outlineLevel="0" collapsed="false">
      <c r="B519" s="9" t="n">
        <v>3397</v>
      </c>
      <c r="C519" s="9" t="s">
        <v>1211</v>
      </c>
      <c r="D519" s="9" t="s">
        <v>1139</v>
      </c>
      <c r="E519" s="9" t="s">
        <v>1212</v>
      </c>
      <c r="F519" s="10" t="s">
        <v>79</v>
      </c>
      <c r="G519" s="10" t="n">
        <v>13650</v>
      </c>
      <c r="H519" s="10" t="n">
        <v>13650</v>
      </c>
      <c r="I519" s="11" t="s">
        <v>773</v>
      </c>
      <c r="J519" s="9" t="s">
        <v>773</v>
      </c>
      <c r="K519" s="9" t="s">
        <v>5</v>
      </c>
      <c r="L519" s="9" t="s">
        <v>5</v>
      </c>
      <c r="M519" s="9" t="n">
        <v>648.375</v>
      </c>
      <c r="N519" s="9" t="n">
        <v>1257.438</v>
      </c>
      <c r="O519" s="9" t="n">
        <v>15555.813</v>
      </c>
    </row>
    <row r="520" customFormat="false" ht="17.25" hidden="false" customHeight="false" outlineLevel="0" collapsed="false">
      <c r="B520" s="9" t="n">
        <v>3413</v>
      </c>
      <c r="C520" s="9" t="s">
        <v>1213</v>
      </c>
      <c r="D520" s="9" t="s">
        <v>1142</v>
      </c>
      <c r="E520" s="9" t="s">
        <v>1214</v>
      </c>
      <c r="F520" s="10" t="s">
        <v>79</v>
      </c>
      <c r="G520" s="10" t="n">
        <v>12900</v>
      </c>
      <c r="H520" s="10" t="n">
        <v>12900</v>
      </c>
      <c r="I520" s="11" t="s">
        <v>773</v>
      </c>
      <c r="J520" s="9" t="s">
        <v>773</v>
      </c>
      <c r="K520" s="9" t="s">
        <v>8</v>
      </c>
      <c r="L520" s="9" t="s">
        <v>8</v>
      </c>
      <c r="M520" s="9" t="n">
        <v>551.475</v>
      </c>
      <c r="N520" s="9" t="n">
        <v>1018.584</v>
      </c>
      <c r="O520" s="9" t="n">
        <v>14470.059</v>
      </c>
    </row>
    <row r="521" customFormat="false" ht="17.25" hidden="false" customHeight="false" outlineLevel="0" collapsed="false">
      <c r="B521" s="9" t="n">
        <v>3437</v>
      </c>
      <c r="C521" s="9" t="s">
        <v>1215</v>
      </c>
      <c r="D521" s="9" t="s">
        <v>1216</v>
      </c>
      <c r="E521" s="9" t="s">
        <v>1217</v>
      </c>
      <c r="F521" s="10" t="s">
        <v>87</v>
      </c>
      <c r="G521" s="10" t="n">
        <v>26570</v>
      </c>
      <c r="H521" s="10" t="n">
        <v>26570</v>
      </c>
      <c r="I521" s="11" t="s">
        <v>1218</v>
      </c>
      <c r="J521" s="9" t="s">
        <v>1065</v>
      </c>
      <c r="K521" s="9" t="s">
        <v>3</v>
      </c>
      <c r="L521" s="9" t="s">
        <v>13</v>
      </c>
      <c r="M521" s="9" t="n">
        <v>0</v>
      </c>
      <c r="N521" s="9" t="n">
        <v>1974</v>
      </c>
      <c r="O521" s="9" t="n">
        <v>28544</v>
      </c>
    </row>
    <row r="522" customFormat="false" ht="17.25" hidden="false" customHeight="false" outlineLevel="0" collapsed="false">
      <c r="B522" s="9" t="n">
        <v>3443</v>
      </c>
      <c r="C522" s="9" t="s">
        <v>1219</v>
      </c>
      <c r="D522" s="9" t="s">
        <v>1152</v>
      </c>
      <c r="E522" s="9" t="s">
        <v>1220</v>
      </c>
      <c r="F522" s="10" t="s">
        <v>331</v>
      </c>
      <c r="G522" s="10" t="n">
        <v>12610</v>
      </c>
      <c r="H522" s="10" t="n">
        <v>5044</v>
      </c>
      <c r="I522" s="11" t="s">
        <v>773</v>
      </c>
      <c r="J522" s="9" t="s">
        <v>773</v>
      </c>
      <c r="K522" s="9" t="s">
        <v>10</v>
      </c>
      <c r="L522" s="9" t="s">
        <v>3</v>
      </c>
      <c r="M522" s="9" t="n">
        <v>215.631</v>
      </c>
      <c r="N522" s="9" t="n">
        <v>398.27424</v>
      </c>
      <c r="O522" s="9" t="n">
        <v>5657.90524</v>
      </c>
    </row>
    <row r="523" customFormat="false" ht="17.25" hidden="false" customHeight="false" outlineLevel="0" collapsed="false">
      <c r="B523" s="9" t="n">
        <v>3446</v>
      </c>
      <c r="C523" s="9" t="s">
        <v>1221</v>
      </c>
      <c r="D523" s="9" t="s">
        <v>851</v>
      </c>
      <c r="E523" s="9" t="s">
        <v>1220</v>
      </c>
      <c r="F523" s="10" t="s">
        <v>67</v>
      </c>
      <c r="G523" s="10" t="n">
        <v>12000</v>
      </c>
      <c r="H523" s="10" t="n">
        <v>12000</v>
      </c>
      <c r="I523" s="11" t="s">
        <v>751</v>
      </c>
      <c r="J523" s="9" t="s">
        <v>752</v>
      </c>
      <c r="K523" s="9" t="s">
        <v>3</v>
      </c>
      <c r="L523" s="9" t="s">
        <v>3</v>
      </c>
      <c r="M523" s="9" t="n">
        <v>513</v>
      </c>
      <c r="N523" s="9" t="n">
        <v>947.52</v>
      </c>
      <c r="O523" s="9" t="n">
        <v>13460.52</v>
      </c>
    </row>
    <row r="524" customFormat="false" ht="17.25" hidden="false" customHeight="false" outlineLevel="0" collapsed="false">
      <c r="B524" s="9" t="n">
        <v>3479</v>
      </c>
      <c r="C524" s="9" t="s">
        <v>1222</v>
      </c>
      <c r="D524" s="9" t="s">
        <v>1152</v>
      </c>
      <c r="E524" s="9" t="s">
        <v>1223</v>
      </c>
      <c r="F524" s="10" t="s">
        <v>331</v>
      </c>
      <c r="G524" s="10" t="n">
        <v>22290</v>
      </c>
      <c r="H524" s="10" t="n">
        <v>22290</v>
      </c>
      <c r="I524" s="11" t="s">
        <v>773</v>
      </c>
      <c r="J524" s="9" t="s">
        <v>773</v>
      </c>
      <c r="K524" s="9" t="s">
        <v>10</v>
      </c>
      <c r="L524" s="9" t="s">
        <v>10</v>
      </c>
      <c r="M524" s="9" t="n">
        <v>952.8975</v>
      </c>
      <c r="N524" s="9" t="n">
        <v>1760.0184</v>
      </c>
      <c r="O524" s="9" t="n">
        <v>25002.9159</v>
      </c>
    </row>
    <row r="525" customFormat="false" ht="17.25" hidden="false" customHeight="false" outlineLevel="0" collapsed="false">
      <c r="B525" s="9" t="n">
        <v>3481</v>
      </c>
      <c r="C525" s="9" t="s">
        <v>1224</v>
      </c>
      <c r="D525" s="9" t="s">
        <v>1225</v>
      </c>
      <c r="E525" s="9" t="s">
        <v>1223</v>
      </c>
      <c r="F525" s="10" t="s">
        <v>109</v>
      </c>
      <c r="G525" s="10" t="n">
        <v>14500</v>
      </c>
      <c r="H525" s="10" t="n">
        <v>14500</v>
      </c>
      <c r="I525" s="11" t="s">
        <v>799</v>
      </c>
      <c r="J525" s="9" t="s">
        <v>739</v>
      </c>
      <c r="K525" s="9" t="s">
        <v>10</v>
      </c>
      <c r="L525" s="9" t="s">
        <v>10</v>
      </c>
      <c r="M525" s="9" t="n">
        <v>619.875</v>
      </c>
      <c r="N525" s="9" t="n">
        <v>1144.92</v>
      </c>
      <c r="O525" s="9" t="n">
        <v>16264.795</v>
      </c>
    </row>
    <row r="526" customFormat="false" ht="17.25" hidden="false" customHeight="false" outlineLevel="0" collapsed="false">
      <c r="B526" s="9" t="n">
        <v>3498</v>
      </c>
      <c r="C526" s="9" t="s">
        <v>1226</v>
      </c>
      <c r="D526" s="9" t="s">
        <v>1007</v>
      </c>
      <c r="E526" s="9" t="s">
        <v>1227</v>
      </c>
      <c r="F526" s="10" t="s">
        <v>109</v>
      </c>
      <c r="G526" s="10" t="n">
        <v>14210</v>
      </c>
      <c r="H526" s="10" t="n">
        <v>14210</v>
      </c>
      <c r="I526" s="11" t="s">
        <v>799</v>
      </c>
      <c r="J526" s="9" t="s">
        <v>739</v>
      </c>
      <c r="K526" s="9" t="s">
        <v>3</v>
      </c>
      <c r="L526" s="9" t="s">
        <v>3</v>
      </c>
      <c r="M526" s="9" t="n">
        <v>607.4775</v>
      </c>
      <c r="N526" s="9" t="n">
        <v>1122.0216</v>
      </c>
      <c r="O526" s="9" t="n">
        <v>15939.4991</v>
      </c>
    </row>
    <row r="527" customFormat="false" ht="17.25" hidden="false" customHeight="false" outlineLevel="0" collapsed="false">
      <c r="B527" s="9" t="n">
        <v>3507</v>
      </c>
      <c r="C527" s="9" t="s">
        <v>1228</v>
      </c>
      <c r="D527" s="9" t="s">
        <v>1007</v>
      </c>
      <c r="E527" s="9" t="s">
        <v>1229</v>
      </c>
      <c r="F527" s="10" t="s">
        <v>109</v>
      </c>
      <c r="G527" s="10" t="n">
        <v>16820</v>
      </c>
      <c r="H527" s="10" t="n">
        <v>16820</v>
      </c>
      <c r="I527" s="11" t="s">
        <v>1104</v>
      </c>
      <c r="J527" s="9" t="s">
        <v>760</v>
      </c>
      <c r="K527" s="9" t="s">
        <v>8</v>
      </c>
      <c r="L527" s="9" t="s">
        <v>8</v>
      </c>
      <c r="M527" s="9" t="n">
        <v>719.055</v>
      </c>
      <c r="N527" s="9" t="n">
        <v>1328.1072</v>
      </c>
      <c r="O527" s="9" t="n">
        <v>18867.1622</v>
      </c>
    </row>
    <row r="528" customFormat="false" ht="17.25" hidden="false" customHeight="false" outlineLevel="0" collapsed="false">
      <c r="B528" s="9" t="n">
        <v>3508</v>
      </c>
      <c r="C528" s="9" t="s">
        <v>1230</v>
      </c>
      <c r="D528" s="9" t="s">
        <v>965</v>
      </c>
      <c r="E528" s="9" t="s">
        <v>1231</v>
      </c>
      <c r="F528" s="10" t="s">
        <v>87</v>
      </c>
      <c r="G528" s="10" t="n">
        <v>29690</v>
      </c>
      <c r="H528" s="10" t="n">
        <v>29690</v>
      </c>
      <c r="I528" s="11" t="s">
        <v>1232</v>
      </c>
      <c r="J528" s="9" t="s">
        <v>1041</v>
      </c>
      <c r="K528" s="9" t="s">
        <v>10</v>
      </c>
      <c r="L528" s="9" t="s">
        <v>13</v>
      </c>
      <c r="M528" s="9" t="n">
        <v>0</v>
      </c>
      <c r="N528" s="9" t="n">
        <v>1974</v>
      </c>
      <c r="O528" s="9" t="n">
        <v>31664</v>
      </c>
    </row>
    <row r="529" customFormat="false" ht="17.25" hidden="false" customHeight="false" outlineLevel="0" collapsed="false">
      <c r="B529" s="9" t="n">
        <v>3515</v>
      </c>
      <c r="C529" s="9" t="s">
        <v>1233</v>
      </c>
      <c r="D529" s="9" t="s">
        <v>1112</v>
      </c>
      <c r="E529" s="9" t="s">
        <v>1234</v>
      </c>
      <c r="F529" s="10" t="s">
        <v>331</v>
      </c>
      <c r="G529" s="10" t="n">
        <v>10880</v>
      </c>
      <c r="H529" s="10" t="n">
        <v>10880</v>
      </c>
      <c r="I529" s="11" t="s">
        <v>773</v>
      </c>
      <c r="J529" s="9" t="s">
        <v>773</v>
      </c>
      <c r="K529" s="9" t="s">
        <v>10</v>
      </c>
      <c r="L529" s="9" t="s">
        <v>10</v>
      </c>
      <c r="M529" s="9" t="n">
        <v>465.12</v>
      </c>
      <c r="N529" s="9" t="n">
        <v>859.0848</v>
      </c>
      <c r="O529" s="9" t="n">
        <v>12204.2048</v>
      </c>
    </row>
    <row r="530" customFormat="false" ht="17.25" hidden="false" customHeight="false" outlineLevel="0" collapsed="false">
      <c r="B530" s="9" t="n">
        <v>3519</v>
      </c>
      <c r="C530" s="9" t="s">
        <v>1235</v>
      </c>
      <c r="D530" s="9" t="s">
        <v>1112</v>
      </c>
      <c r="E530" s="9" t="s">
        <v>340</v>
      </c>
      <c r="F530" s="10" t="s">
        <v>331</v>
      </c>
      <c r="G530" s="10" t="n">
        <v>10300</v>
      </c>
      <c r="H530" s="10" t="n">
        <v>10300</v>
      </c>
      <c r="I530" s="11" t="s">
        <v>773</v>
      </c>
      <c r="J530" s="9" t="s">
        <v>773</v>
      </c>
      <c r="K530" s="9" t="s">
        <v>10</v>
      </c>
      <c r="L530" s="9" t="s">
        <v>10</v>
      </c>
      <c r="M530" s="9" t="n">
        <v>440.325</v>
      </c>
      <c r="N530" s="9" t="n">
        <v>813.288</v>
      </c>
      <c r="O530" s="9" t="n">
        <v>11553.613</v>
      </c>
    </row>
    <row r="531" customFormat="false" ht="17.25" hidden="false" customHeight="false" outlineLevel="0" collapsed="false">
      <c r="B531" s="9" t="n">
        <v>3521</v>
      </c>
      <c r="C531" s="9" t="s">
        <v>1236</v>
      </c>
      <c r="D531" s="9" t="s">
        <v>1159</v>
      </c>
      <c r="E531" s="9" t="s">
        <v>1237</v>
      </c>
      <c r="F531" s="10" t="s">
        <v>331</v>
      </c>
      <c r="G531" s="10" t="n">
        <v>16260</v>
      </c>
      <c r="H531" s="10" t="n">
        <v>16260</v>
      </c>
      <c r="I531" s="11" t="s">
        <v>688</v>
      </c>
      <c r="J531" s="9" t="s">
        <v>688</v>
      </c>
      <c r="K531" s="9" t="s">
        <v>8</v>
      </c>
      <c r="L531" s="9" t="s">
        <v>8</v>
      </c>
      <c r="M531" s="9" t="n">
        <v>695.115</v>
      </c>
      <c r="N531" s="9" t="n">
        <v>1283.8896</v>
      </c>
      <c r="O531" s="9" t="n">
        <v>18239.0046</v>
      </c>
    </row>
    <row r="532" customFormat="false" ht="17.25" hidden="false" customHeight="false" outlineLevel="0" collapsed="false">
      <c r="B532" s="9" t="n">
        <v>3522</v>
      </c>
      <c r="C532" s="9" t="s">
        <v>1238</v>
      </c>
      <c r="D532" s="9" t="s">
        <v>584</v>
      </c>
      <c r="E532" s="9" t="s">
        <v>1239</v>
      </c>
      <c r="F532" s="10" t="s">
        <v>338</v>
      </c>
      <c r="G532" s="10" t="n">
        <v>14000</v>
      </c>
      <c r="H532" s="10" t="n">
        <v>14000</v>
      </c>
      <c r="I532" s="11" t="s">
        <v>688</v>
      </c>
      <c r="J532" s="9" t="s">
        <v>688</v>
      </c>
      <c r="K532" s="9" t="s">
        <v>8</v>
      </c>
      <c r="L532" s="9" t="s">
        <v>8</v>
      </c>
      <c r="M532" s="9" t="n">
        <v>598.5</v>
      </c>
      <c r="N532" s="9" t="n">
        <v>1105.44</v>
      </c>
      <c r="O532" s="9" t="n">
        <v>15703.94</v>
      </c>
    </row>
    <row r="533" customFormat="false" ht="17.25" hidden="false" customHeight="false" outlineLevel="0" collapsed="false">
      <c r="B533" s="9" t="n">
        <v>3529</v>
      </c>
      <c r="C533" s="9" t="s">
        <v>1240</v>
      </c>
      <c r="D533" s="9" t="s">
        <v>1007</v>
      </c>
      <c r="E533" s="9" t="s">
        <v>1241</v>
      </c>
      <c r="F533" s="10" t="s">
        <v>109</v>
      </c>
      <c r="G533" s="10" t="n">
        <v>10530</v>
      </c>
      <c r="H533" s="10" t="n">
        <v>10530</v>
      </c>
      <c r="I533" s="11" t="s">
        <v>759</v>
      </c>
      <c r="J533" s="9" t="s">
        <v>760</v>
      </c>
      <c r="K533" s="9" t="s">
        <v>3</v>
      </c>
      <c r="L533" s="9" t="s">
        <v>3</v>
      </c>
      <c r="M533" s="9" t="n">
        <v>450.1575</v>
      </c>
      <c r="N533" s="9" t="n">
        <v>831.4488</v>
      </c>
      <c r="O533" s="9" t="n">
        <v>11811.6063</v>
      </c>
    </row>
    <row r="534" customFormat="false" ht="17.25" hidden="false" customHeight="false" outlineLevel="0" collapsed="false">
      <c r="B534" s="9" t="n">
        <v>3530</v>
      </c>
      <c r="C534" s="9" t="s">
        <v>1242</v>
      </c>
      <c r="D534" s="9" t="s">
        <v>584</v>
      </c>
      <c r="E534" s="9" t="s">
        <v>1243</v>
      </c>
      <c r="F534" s="10" t="s">
        <v>109</v>
      </c>
      <c r="G534" s="10" t="n">
        <v>12000</v>
      </c>
      <c r="H534" s="10" t="n">
        <v>12000</v>
      </c>
      <c r="I534" s="11" t="s">
        <v>742</v>
      </c>
      <c r="J534" s="9" t="s">
        <v>743</v>
      </c>
      <c r="K534" s="9" t="s">
        <v>3</v>
      </c>
      <c r="L534" s="9" t="s">
        <v>3</v>
      </c>
      <c r="M534" s="9" t="n">
        <v>513</v>
      </c>
      <c r="N534" s="9" t="n">
        <v>947.52</v>
      </c>
      <c r="O534" s="9" t="n">
        <v>13460.52</v>
      </c>
    </row>
    <row r="535" customFormat="false" ht="17.25" hidden="false" customHeight="false" outlineLevel="0" collapsed="false">
      <c r="B535" s="9" t="n">
        <v>3531</v>
      </c>
      <c r="C535" s="9" t="s">
        <v>1244</v>
      </c>
      <c r="D535" s="9" t="s">
        <v>797</v>
      </c>
      <c r="E535" s="9" t="s">
        <v>1245</v>
      </c>
      <c r="F535" s="10" t="s">
        <v>299</v>
      </c>
      <c r="G535" s="10" t="n">
        <v>18580</v>
      </c>
      <c r="H535" s="10" t="n">
        <v>18580</v>
      </c>
      <c r="I535" s="11" t="s">
        <v>773</v>
      </c>
      <c r="J535" s="9" t="s">
        <v>774</v>
      </c>
      <c r="K535" s="9" t="s">
        <v>10</v>
      </c>
      <c r="L535" s="9" t="s">
        <v>778</v>
      </c>
      <c r="M535" s="9" t="n">
        <v>794.295</v>
      </c>
      <c r="N535" s="9" t="n">
        <v>1467.0768</v>
      </c>
      <c r="O535" s="9" t="n">
        <v>20841.3718</v>
      </c>
    </row>
    <row r="536" customFormat="false" ht="17.25" hidden="false" customHeight="false" outlineLevel="0" collapsed="false">
      <c r="B536" s="9" t="n">
        <v>3532</v>
      </c>
      <c r="C536" s="9" t="s">
        <v>1246</v>
      </c>
      <c r="D536" s="9" t="s">
        <v>574</v>
      </c>
      <c r="E536" s="9" t="s">
        <v>1247</v>
      </c>
      <c r="F536" s="10" t="s">
        <v>87</v>
      </c>
      <c r="G536" s="10" t="n">
        <v>24110</v>
      </c>
      <c r="H536" s="10" t="n">
        <v>24110</v>
      </c>
      <c r="I536" s="11" t="s">
        <v>799</v>
      </c>
      <c r="J536" s="9" t="s">
        <v>739</v>
      </c>
      <c r="K536" s="9" t="s">
        <v>10</v>
      </c>
      <c r="L536" s="9" t="s">
        <v>10</v>
      </c>
      <c r="M536" s="9" t="n">
        <v>0</v>
      </c>
      <c r="N536" s="9" t="n">
        <v>1903.7256</v>
      </c>
      <c r="O536" s="9" t="n">
        <v>26013.7256</v>
      </c>
    </row>
    <row r="537" customFormat="false" ht="17.25" hidden="false" customHeight="false" outlineLevel="0" collapsed="false">
      <c r="B537" s="9" t="n">
        <v>3534</v>
      </c>
      <c r="C537" s="9" t="s">
        <v>1248</v>
      </c>
      <c r="D537" s="9" t="s">
        <v>1249</v>
      </c>
      <c r="E537" s="9" t="s">
        <v>1250</v>
      </c>
      <c r="F537" s="10" t="s">
        <v>299</v>
      </c>
      <c r="G537" s="10" t="n">
        <v>20000</v>
      </c>
      <c r="H537" s="10" t="n">
        <v>20000</v>
      </c>
      <c r="I537" s="11" t="s">
        <v>751</v>
      </c>
      <c r="J537" s="9" t="s">
        <v>752</v>
      </c>
      <c r="K537" s="9" t="s">
        <v>10</v>
      </c>
      <c r="L537" s="9" t="s">
        <v>735</v>
      </c>
      <c r="M537" s="9" t="n">
        <v>855</v>
      </c>
      <c r="N537" s="9" t="n">
        <v>1579.2</v>
      </c>
      <c r="O537" s="9" t="n">
        <v>22434.2</v>
      </c>
    </row>
    <row r="538" customFormat="false" ht="17.25" hidden="false" customHeight="false" outlineLevel="0" collapsed="false">
      <c r="B538" s="9" t="n">
        <v>3544</v>
      </c>
      <c r="C538" s="9" t="s">
        <v>1251</v>
      </c>
      <c r="D538" s="9" t="s">
        <v>1252</v>
      </c>
      <c r="E538" s="9" t="s">
        <v>1253</v>
      </c>
      <c r="F538" s="10" t="s">
        <v>87</v>
      </c>
      <c r="G538" s="10" t="n">
        <v>30750</v>
      </c>
      <c r="H538" s="10" t="n">
        <v>30750</v>
      </c>
      <c r="I538" s="11" t="s">
        <v>751</v>
      </c>
      <c r="J538" s="9" t="s">
        <v>752</v>
      </c>
      <c r="K538" s="9" t="s">
        <v>8</v>
      </c>
      <c r="L538" s="9" t="s">
        <v>8</v>
      </c>
      <c r="M538" s="9" t="n">
        <v>0</v>
      </c>
      <c r="N538" s="9" t="n">
        <v>1974</v>
      </c>
      <c r="O538" s="9" t="n">
        <v>32724</v>
      </c>
    </row>
    <row r="539" customFormat="false" ht="17.25" hidden="false" customHeight="false" outlineLevel="0" collapsed="false">
      <c r="B539" s="9" t="n">
        <v>3554</v>
      </c>
      <c r="C539" s="9" t="s">
        <v>1254</v>
      </c>
      <c r="D539" s="9" t="s">
        <v>849</v>
      </c>
      <c r="E539" s="9" t="s">
        <v>1255</v>
      </c>
      <c r="F539" s="10" t="s">
        <v>299</v>
      </c>
      <c r="G539" s="10" t="n">
        <v>20610</v>
      </c>
      <c r="H539" s="10" t="n">
        <v>20610</v>
      </c>
      <c r="I539" s="11" t="s">
        <v>773</v>
      </c>
      <c r="J539" s="9" t="s">
        <v>773</v>
      </c>
      <c r="K539" s="9" t="s">
        <v>5</v>
      </c>
      <c r="L539" s="9" t="s">
        <v>1256</v>
      </c>
      <c r="M539" s="9" t="n">
        <v>978.975</v>
      </c>
      <c r="N539" s="9" t="n">
        <v>1898.5932</v>
      </c>
      <c r="O539" s="9" t="n">
        <v>23487.5682</v>
      </c>
    </row>
    <row r="540" customFormat="false" ht="17.25" hidden="false" customHeight="false" outlineLevel="0" collapsed="false">
      <c r="B540" s="9" t="n">
        <v>3555</v>
      </c>
      <c r="C540" s="9" t="s">
        <v>1257</v>
      </c>
      <c r="D540" s="9" t="s">
        <v>574</v>
      </c>
      <c r="E540" s="9" t="s">
        <v>1258</v>
      </c>
      <c r="F540" s="10" t="s">
        <v>58</v>
      </c>
      <c r="G540" s="10" t="n">
        <v>36870</v>
      </c>
      <c r="H540" s="10" t="n">
        <v>36870</v>
      </c>
      <c r="I540" s="11" t="s">
        <v>773</v>
      </c>
      <c r="J540" s="9" t="s">
        <v>774</v>
      </c>
      <c r="K540" s="9" t="s">
        <v>3</v>
      </c>
      <c r="L540" s="9" t="s">
        <v>3</v>
      </c>
      <c r="M540" s="9" t="n">
        <v>0</v>
      </c>
      <c r="N540" s="9" t="n">
        <v>1974</v>
      </c>
      <c r="O540" s="9" t="n">
        <v>38844</v>
      </c>
    </row>
    <row r="541" customFormat="false" ht="17.25" hidden="false" customHeight="false" outlineLevel="0" collapsed="false">
      <c r="B541" s="9" t="n">
        <v>3560</v>
      </c>
      <c r="C541" s="9" t="s">
        <v>1259</v>
      </c>
      <c r="D541" s="9" t="s">
        <v>1260</v>
      </c>
      <c r="E541" s="9" t="s">
        <v>1261</v>
      </c>
      <c r="F541" s="10" t="s">
        <v>109</v>
      </c>
      <c r="G541" s="10" t="n">
        <v>14880</v>
      </c>
      <c r="H541" s="10" t="n">
        <v>0</v>
      </c>
      <c r="I541" s="11" t="s">
        <v>1218</v>
      </c>
      <c r="J541" s="9" t="s">
        <v>1065</v>
      </c>
      <c r="K541" s="9" t="s">
        <v>5</v>
      </c>
      <c r="L541" s="9" t="s">
        <v>13</v>
      </c>
      <c r="M541" s="9" t="n">
        <v>0</v>
      </c>
      <c r="N541" s="9" t="n">
        <v>0</v>
      </c>
      <c r="O541" s="9" t="n">
        <v>0</v>
      </c>
    </row>
    <row r="542" customFormat="false" ht="17.25" hidden="false" customHeight="false" outlineLevel="0" collapsed="false">
      <c r="B542" s="9" t="n">
        <v>3565</v>
      </c>
      <c r="C542" s="9" t="s">
        <v>1262</v>
      </c>
      <c r="D542" s="9" t="s">
        <v>1216</v>
      </c>
      <c r="E542" s="9" t="s">
        <v>1263</v>
      </c>
      <c r="F542" s="10" t="s">
        <v>87</v>
      </c>
      <c r="G542" s="10" t="n">
        <v>25000</v>
      </c>
      <c r="H542" s="10" t="n">
        <v>25000</v>
      </c>
      <c r="I542" s="11" t="s">
        <v>1086</v>
      </c>
      <c r="J542" s="9" t="s">
        <v>734</v>
      </c>
      <c r="K542" s="9" t="s">
        <v>10</v>
      </c>
      <c r="L542" s="9" t="s">
        <v>13</v>
      </c>
      <c r="M542" s="9" t="n">
        <v>0</v>
      </c>
      <c r="N542" s="9" t="n">
        <v>1974</v>
      </c>
      <c r="O542" s="9" t="n">
        <v>26974</v>
      </c>
    </row>
    <row r="543" customFormat="false" ht="17.25" hidden="false" customHeight="false" outlineLevel="0" collapsed="false">
      <c r="B543" s="9" t="n">
        <v>3569</v>
      </c>
      <c r="C543" s="9" t="s">
        <v>1264</v>
      </c>
      <c r="D543" s="9" t="s">
        <v>1265</v>
      </c>
      <c r="E543" s="9" t="s">
        <v>321</v>
      </c>
      <c r="F543" s="10" t="s">
        <v>331</v>
      </c>
      <c r="G543" s="10" t="n">
        <v>16260</v>
      </c>
      <c r="H543" s="10" t="n">
        <v>16260</v>
      </c>
      <c r="I543" s="11" t="s">
        <v>688</v>
      </c>
      <c r="J543" s="9" t="s">
        <v>688</v>
      </c>
      <c r="K543" s="9" t="s">
        <v>3</v>
      </c>
      <c r="L543" s="9" t="s">
        <v>3</v>
      </c>
      <c r="M543" s="9" t="n">
        <v>695.115</v>
      </c>
      <c r="N543" s="9" t="n">
        <v>1283.8896</v>
      </c>
      <c r="O543" s="9" t="n">
        <v>18239.0046</v>
      </c>
    </row>
    <row r="544" customFormat="false" ht="17.25" hidden="false" customHeight="false" outlineLevel="0" collapsed="false">
      <c r="B544" s="9" t="n">
        <v>3574</v>
      </c>
      <c r="C544" s="9" t="s">
        <v>1266</v>
      </c>
      <c r="D544" s="9" t="s">
        <v>1007</v>
      </c>
      <c r="E544" s="9" t="s">
        <v>1267</v>
      </c>
      <c r="F544" s="10" t="s">
        <v>109</v>
      </c>
      <c r="G544" s="10" t="n">
        <v>13990</v>
      </c>
      <c r="H544" s="10" t="n">
        <v>13990</v>
      </c>
      <c r="I544" s="11" t="s">
        <v>1268</v>
      </c>
      <c r="J544" s="9" t="s">
        <v>743</v>
      </c>
      <c r="K544" s="9" t="s">
        <v>8</v>
      </c>
      <c r="L544" s="9" t="s">
        <v>13</v>
      </c>
      <c r="M544" s="9" t="n">
        <v>598.0725</v>
      </c>
      <c r="N544" s="9" t="n">
        <v>1104.6504</v>
      </c>
      <c r="O544" s="9" t="n">
        <v>15692.7229</v>
      </c>
    </row>
    <row r="545" customFormat="false" ht="17.25" hidden="false" customHeight="false" outlineLevel="0" collapsed="false">
      <c r="B545" s="9" t="n">
        <v>3587</v>
      </c>
      <c r="C545" s="9" t="s">
        <v>1269</v>
      </c>
      <c r="D545" s="9" t="s">
        <v>797</v>
      </c>
      <c r="E545" s="9" t="s">
        <v>1270</v>
      </c>
      <c r="F545" s="10" t="s">
        <v>299</v>
      </c>
      <c r="G545" s="10" t="n">
        <v>20070</v>
      </c>
      <c r="H545" s="10" t="n">
        <v>20070</v>
      </c>
      <c r="I545" s="11" t="s">
        <v>1268</v>
      </c>
      <c r="J545" s="9" t="s">
        <v>743</v>
      </c>
      <c r="K545" s="9" t="s">
        <v>3</v>
      </c>
      <c r="L545" s="9" t="s">
        <v>13</v>
      </c>
      <c r="M545" s="9" t="n">
        <v>857.9925</v>
      </c>
      <c r="N545" s="9" t="n">
        <v>1584.7272</v>
      </c>
      <c r="O545" s="9" t="n">
        <v>22512.7197</v>
      </c>
    </row>
    <row r="546" customFormat="false" ht="17.25" hidden="false" customHeight="false" outlineLevel="0" collapsed="false">
      <c r="B546" s="9" t="n">
        <v>3589</v>
      </c>
      <c r="C546" s="9" t="s">
        <v>1271</v>
      </c>
      <c r="D546" s="9" t="s">
        <v>574</v>
      </c>
      <c r="E546" s="9" t="s">
        <v>1272</v>
      </c>
      <c r="F546" s="10" t="s">
        <v>64</v>
      </c>
      <c r="G546" s="10" t="n">
        <v>50060</v>
      </c>
      <c r="H546" s="10" t="n">
        <v>50060</v>
      </c>
      <c r="I546" s="11" t="s">
        <v>839</v>
      </c>
      <c r="J546" s="9" t="s">
        <v>839</v>
      </c>
      <c r="K546" s="9" t="s">
        <v>5</v>
      </c>
      <c r="L546" s="9" t="s">
        <v>16</v>
      </c>
      <c r="M546" s="9" t="n">
        <v>0</v>
      </c>
      <c r="N546" s="9" t="n">
        <v>1974</v>
      </c>
      <c r="O546" s="9" t="n">
        <v>52034</v>
      </c>
    </row>
    <row r="547" customFormat="false" ht="17.25" hidden="false" customHeight="false" outlineLevel="0" collapsed="false">
      <c r="B547" s="9" t="n">
        <v>3591</v>
      </c>
      <c r="C547" s="9" t="s">
        <v>1273</v>
      </c>
      <c r="D547" s="9" t="s">
        <v>1274</v>
      </c>
      <c r="E547" s="9" t="s">
        <v>1275</v>
      </c>
      <c r="F547" s="10" t="s">
        <v>109</v>
      </c>
      <c r="G547" s="10" t="n">
        <v>13640</v>
      </c>
      <c r="H547" s="10" t="n">
        <v>13640</v>
      </c>
      <c r="I547" s="11" t="s">
        <v>799</v>
      </c>
      <c r="J547" s="9" t="s">
        <v>739</v>
      </c>
      <c r="K547" s="9" t="s">
        <v>8</v>
      </c>
      <c r="L547" s="9" t="s">
        <v>3</v>
      </c>
      <c r="M547" s="9" t="n">
        <v>583.11</v>
      </c>
      <c r="N547" s="9" t="n">
        <v>1077.0144</v>
      </c>
      <c r="O547" s="9" t="n">
        <v>15300.1244</v>
      </c>
    </row>
    <row r="548" customFormat="false" ht="17.25" hidden="false" customHeight="false" outlineLevel="0" collapsed="false">
      <c r="B548" s="9" t="n">
        <v>3597</v>
      </c>
      <c r="C548" s="9" t="s">
        <v>1276</v>
      </c>
      <c r="D548" s="9" t="s">
        <v>584</v>
      </c>
      <c r="E548" s="9" t="s">
        <v>1277</v>
      </c>
      <c r="F548" s="10" t="s">
        <v>338</v>
      </c>
      <c r="G548" s="10" t="n">
        <v>10000</v>
      </c>
      <c r="H548" s="10" t="n">
        <v>10000</v>
      </c>
      <c r="I548" s="11" t="s">
        <v>799</v>
      </c>
      <c r="J548" s="9" t="s">
        <v>739</v>
      </c>
      <c r="K548" s="9" t="s">
        <v>8</v>
      </c>
      <c r="L548" s="9" t="s">
        <v>8</v>
      </c>
      <c r="M548" s="9" t="n">
        <v>427.5</v>
      </c>
      <c r="N548" s="9" t="n">
        <v>789.6</v>
      </c>
      <c r="O548" s="9" t="n">
        <v>11217.1</v>
      </c>
    </row>
    <row r="549" customFormat="false" ht="17.25" hidden="false" customHeight="false" outlineLevel="0" collapsed="false">
      <c r="B549" s="9" t="n">
        <v>3598</v>
      </c>
      <c r="C549" s="9" t="s">
        <v>1278</v>
      </c>
      <c r="D549" s="9" t="s">
        <v>1279</v>
      </c>
      <c r="E549" s="9" t="s">
        <v>1280</v>
      </c>
      <c r="F549" s="10" t="s">
        <v>750</v>
      </c>
      <c r="G549" s="10" t="n">
        <v>125000</v>
      </c>
      <c r="H549" s="10" t="n">
        <v>125000</v>
      </c>
      <c r="I549" s="11" t="s">
        <v>889</v>
      </c>
      <c r="J549" s="9" t="s">
        <v>734</v>
      </c>
      <c r="K549" s="9" t="s">
        <v>5</v>
      </c>
      <c r="L549" s="9" t="s">
        <v>13</v>
      </c>
      <c r="M549" s="9" t="n">
        <v>0</v>
      </c>
      <c r="N549" s="9" t="n">
        <v>1974</v>
      </c>
      <c r="O549" s="9" t="n">
        <v>126974</v>
      </c>
    </row>
    <row r="550" customFormat="false" ht="17.25" hidden="false" customHeight="false" outlineLevel="0" collapsed="false">
      <c r="B550" s="9" t="n">
        <v>3599</v>
      </c>
      <c r="C550" s="9" t="s">
        <v>1281</v>
      </c>
      <c r="D550" s="9" t="s">
        <v>1282</v>
      </c>
      <c r="E550" s="9" t="s">
        <v>1283</v>
      </c>
      <c r="F550" s="10" t="s">
        <v>299</v>
      </c>
      <c r="G550" s="10" t="n">
        <v>24330</v>
      </c>
      <c r="H550" s="10" t="n">
        <v>24330</v>
      </c>
      <c r="I550" s="11" t="s">
        <v>742</v>
      </c>
      <c r="J550" s="9" t="s">
        <v>743</v>
      </c>
      <c r="K550" s="9" t="s">
        <v>10</v>
      </c>
      <c r="L550" s="9" t="s">
        <v>13</v>
      </c>
      <c r="M550" s="9" t="n">
        <v>0</v>
      </c>
      <c r="N550" s="9" t="n">
        <v>1921.0968</v>
      </c>
      <c r="O550" s="9" t="n">
        <v>26251.0968</v>
      </c>
    </row>
    <row r="551" customFormat="false" ht="17.25" hidden="false" customHeight="false" outlineLevel="0" collapsed="false">
      <c r="B551" s="9" t="n">
        <v>3607</v>
      </c>
      <c r="C551" s="9" t="s">
        <v>1284</v>
      </c>
      <c r="D551" s="9" t="s">
        <v>1147</v>
      </c>
      <c r="E551" s="9" t="s">
        <v>1285</v>
      </c>
      <c r="F551" s="10" t="s">
        <v>299</v>
      </c>
      <c r="G551" s="10" t="n">
        <v>18290</v>
      </c>
      <c r="H551" s="10" t="n">
        <v>18290</v>
      </c>
      <c r="I551" s="11" t="s">
        <v>738</v>
      </c>
      <c r="J551" s="9" t="s">
        <v>739</v>
      </c>
      <c r="K551" s="9" t="s">
        <v>4</v>
      </c>
      <c r="L551" s="9" t="s">
        <v>4</v>
      </c>
      <c r="M551" s="9" t="n">
        <v>781.8975</v>
      </c>
      <c r="N551" s="9" t="n">
        <v>1444.1784</v>
      </c>
      <c r="O551" s="9" t="n">
        <v>20516.0759</v>
      </c>
    </row>
    <row r="552" customFormat="false" ht="17.25" hidden="false" customHeight="false" outlineLevel="0" collapsed="false">
      <c r="B552" s="9" t="n">
        <v>3608</v>
      </c>
      <c r="C552" s="9" t="s">
        <v>1286</v>
      </c>
      <c r="D552" s="9" t="s">
        <v>1287</v>
      </c>
      <c r="E552" s="9" t="s">
        <v>1288</v>
      </c>
      <c r="F552" s="10" t="s">
        <v>299</v>
      </c>
      <c r="G552" s="10" t="n">
        <v>18380</v>
      </c>
      <c r="H552" s="10" t="n">
        <v>0</v>
      </c>
      <c r="I552" s="11" t="s">
        <v>699</v>
      </c>
      <c r="J552" s="9" t="s">
        <v>734</v>
      </c>
      <c r="K552" s="9" t="s">
        <v>4</v>
      </c>
      <c r="L552" s="9" t="s">
        <v>4</v>
      </c>
      <c r="M552" s="9" t="n">
        <v>0</v>
      </c>
      <c r="N552" s="9" t="n">
        <v>0</v>
      </c>
      <c r="O552" s="9" t="n">
        <v>0</v>
      </c>
    </row>
    <row r="553" customFormat="false" ht="17.25" hidden="false" customHeight="false" outlineLevel="0" collapsed="false">
      <c r="B553" s="9" t="n">
        <v>3612</v>
      </c>
      <c r="C553" s="9" t="s">
        <v>1289</v>
      </c>
      <c r="D553" s="9" t="s">
        <v>1110</v>
      </c>
      <c r="E553" s="9" t="s">
        <v>315</v>
      </c>
      <c r="F553" s="10" t="s">
        <v>299</v>
      </c>
      <c r="G553" s="10" t="n">
        <v>24090</v>
      </c>
      <c r="H553" s="10" t="n">
        <v>24090</v>
      </c>
      <c r="I553" s="11" t="s">
        <v>1028</v>
      </c>
      <c r="J553" s="9" t="s">
        <v>1028</v>
      </c>
      <c r="K553" s="9" t="s">
        <v>4</v>
      </c>
      <c r="L553" s="9" t="s">
        <v>4</v>
      </c>
      <c r="M553" s="9" t="n">
        <v>0</v>
      </c>
      <c r="N553" s="9" t="n">
        <v>1902.1464</v>
      </c>
      <c r="O553" s="9" t="n">
        <v>25992.1464</v>
      </c>
    </row>
    <row r="554" customFormat="false" ht="17.25" hidden="false" customHeight="false" outlineLevel="0" collapsed="false">
      <c r="B554" s="9" t="n">
        <v>4535</v>
      </c>
      <c r="C554" s="9" t="s">
        <v>1290</v>
      </c>
      <c r="D554" s="9" t="s">
        <v>1291</v>
      </c>
      <c r="E554" s="9" t="s">
        <v>1292</v>
      </c>
      <c r="F554" s="10" t="s">
        <v>109</v>
      </c>
      <c r="G554" s="10" t="n">
        <v>12500</v>
      </c>
      <c r="H554" s="10" t="n">
        <v>12208.33</v>
      </c>
      <c r="I554" s="11" t="s">
        <v>759</v>
      </c>
      <c r="J554" s="9" t="s">
        <v>760</v>
      </c>
      <c r="K554" s="9" t="s">
        <v>4</v>
      </c>
      <c r="L554" s="9" t="s">
        <v>17</v>
      </c>
      <c r="M554" s="9" t="n">
        <v>521.9061075</v>
      </c>
      <c r="N554" s="9" t="n">
        <v>963.9697368</v>
      </c>
      <c r="O554" s="9" t="n">
        <v>13694.2058443</v>
      </c>
    </row>
    <row r="555" customFormat="false" ht="17.25" hidden="false" customHeight="false" outlineLevel="0" collapsed="false">
      <c r="B555" s="9" t="n">
        <v>4080</v>
      </c>
      <c r="C555" s="9" t="s">
        <v>1293</v>
      </c>
      <c r="D555" s="9" t="s">
        <v>1294</v>
      </c>
      <c r="E555" s="9" t="s">
        <v>1295</v>
      </c>
      <c r="F555" s="10" t="s">
        <v>338</v>
      </c>
      <c r="G555" s="10" t="n">
        <v>15000</v>
      </c>
      <c r="H555" s="10" t="n">
        <v>15000</v>
      </c>
      <c r="I555" s="11" t="s">
        <v>699</v>
      </c>
      <c r="J555" s="9" t="s">
        <v>734</v>
      </c>
      <c r="K555" s="9" t="s">
        <v>3</v>
      </c>
      <c r="L555" s="9" t="s">
        <v>4</v>
      </c>
      <c r="M555" s="9" t="n">
        <v>641.25</v>
      </c>
      <c r="N555" s="9" t="n">
        <v>1184.4</v>
      </c>
      <c r="O555" s="9" t="n">
        <v>16825.65</v>
      </c>
    </row>
    <row r="556" customFormat="false" ht="17.25" hidden="false" customHeight="false" outlineLevel="0" collapsed="false">
      <c r="B556" s="9" t="n">
        <v>3616</v>
      </c>
      <c r="C556" s="9" t="s">
        <v>1296</v>
      </c>
      <c r="D556" s="9" t="s">
        <v>1297</v>
      </c>
      <c r="E556" s="9" t="s">
        <v>1270</v>
      </c>
      <c r="F556" s="10" t="s">
        <v>79</v>
      </c>
      <c r="G556" s="10" t="n">
        <v>15450</v>
      </c>
      <c r="H556" s="10" t="n">
        <v>15450</v>
      </c>
      <c r="I556" s="11" t="s">
        <v>773</v>
      </c>
      <c r="J556" s="9" t="s">
        <v>773</v>
      </c>
      <c r="K556" s="9" t="s">
        <v>5</v>
      </c>
      <c r="L556" s="9" t="s">
        <v>5</v>
      </c>
      <c r="M556" s="9" t="n">
        <v>733.875</v>
      </c>
      <c r="N556" s="9" t="n">
        <v>1423.254</v>
      </c>
      <c r="O556" s="9" t="n">
        <v>17607.129</v>
      </c>
    </row>
    <row r="557" customFormat="false" ht="17.25" hidden="false" customHeight="false" outlineLevel="0" collapsed="false">
      <c r="B557" s="9" t="n">
        <v>3622</v>
      </c>
      <c r="C557" s="9" t="s">
        <v>1298</v>
      </c>
      <c r="D557" s="9" t="s">
        <v>811</v>
      </c>
      <c r="E557" s="9" t="s">
        <v>1299</v>
      </c>
      <c r="F557" s="10" t="s">
        <v>58</v>
      </c>
      <c r="G557" s="10" t="n">
        <v>28830</v>
      </c>
      <c r="H557" s="10" t="n">
        <v>28830</v>
      </c>
      <c r="I557" s="11" t="s">
        <v>751</v>
      </c>
      <c r="J557" s="9" t="s">
        <v>752</v>
      </c>
      <c r="K557" s="9" t="s">
        <v>7</v>
      </c>
      <c r="L557" s="9" t="s">
        <v>4</v>
      </c>
      <c r="M557" s="9" t="n">
        <v>0</v>
      </c>
      <c r="N557" s="9" t="n">
        <v>1974</v>
      </c>
      <c r="O557" s="9" t="n">
        <v>30804</v>
      </c>
    </row>
    <row r="558" customFormat="false" ht="17.25" hidden="false" customHeight="false" outlineLevel="0" collapsed="false">
      <c r="B558" s="9" t="n">
        <v>3625</v>
      </c>
      <c r="C558" s="9" t="s">
        <v>1300</v>
      </c>
      <c r="D558" s="9" t="s">
        <v>1162</v>
      </c>
      <c r="E558" s="9" t="s">
        <v>1301</v>
      </c>
      <c r="F558" s="10" t="s">
        <v>331</v>
      </c>
      <c r="G558" s="10" t="n">
        <v>14910</v>
      </c>
      <c r="H558" s="10" t="n">
        <v>14910</v>
      </c>
      <c r="I558" s="11" t="s">
        <v>773</v>
      </c>
      <c r="J558" s="9" t="s">
        <v>773</v>
      </c>
      <c r="K558" s="9" t="s">
        <v>7</v>
      </c>
      <c r="L558" s="9" t="s">
        <v>7</v>
      </c>
      <c r="M558" s="9" t="n">
        <v>708.225</v>
      </c>
      <c r="N558" s="9" t="n">
        <v>1373.5092</v>
      </c>
      <c r="O558" s="9" t="n">
        <v>16991.7342</v>
      </c>
    </row>
    <row r="559" customFormat="false" ht="17.25" hidden="false" customHeight="false" outlineLevel="0" collapsed="false">
      <c r="B559" s="9" t="n">
        <v>3626</v>
      </c>
      <c r="C559" s="9" t="s">
        <v>1302</v>
      </c>
      <c r="D559" s="9" t="s">
        <v>1303</v>
      </c>
      <c r="E559" s="9" t="s">
        <v>1304</v>
      </c>
      <c r="F559" s="10" t="s">
        <v>331</v>
      </c>
      <c r="G559" s="10" t="n">
        <v>20350</v>
      </c>
      <c r="H559" s="10" t="n">
        <v>20350</v>
      </c>
      <c r="I559" s="11" t="s">
        <v>773</v>
      </c>
      <c r="J559" s="9" t="s">
        <v>773</v>
      </c>
      <c r="K559" s="9" t="s">
        <v>7</v>
      </c>
      <c r="L559" s="9" t="s">
        <v>7</v>
      </c>
      <c r="M559" s="9" t="n">
        <v>966.625</v>
      </c>
      <c r="N559" s="9" t="n">
        <v>1874.642</v>
      </c>
      <c r="O559" s="9" t="n">
        <v>23191.267</v>
      </c>
    </row>
    <row r="560" customFormat="false" ht="17.25" hidden="false" customHeight="false" outlineLevel="0" collapsed="false">
      <c r="B560" s="9" t="n">
        <v>3627</v>
      </c>
      <c r="C560" s="9" t="s">
        <v>1305</v>
      </c>
      <c r="D560" s="9" t="s">
        <v>1306</v>
      </c>
      <c r="E560" s="9" t="s">
        <v>1307</v>
      </c>
      <c r="F560" s="10" t="s">
        <v>331</v>
      </c>
      <c r="G560" s="10" t="n">
        <v>16460</v>
      </c>
      <c r="H560" s="10" t="n">
        <v>16460</v>
      </c>
      <c r="I560" s="11" t="s">
        <v>773</v>
      </c>
      <c r="J560" s="9" t="s">
        <v>773</v>
      </c>
      <c r="K560" s="9" t="s">
        <v>7</v>
      </c>
      <c r="L560" s="9" t="s">
        <v>7</v>
      </c>
      <c r="M560" s="9" t="n">
        <v>781.85</v>
      </c>
      <c r="N560" s="9" t="n">
        <v>1516.2952</v>
      </c>
      <c r="O560" s="9" t="n">
        <v>18758.1452</v>
      </c>
    </row>
    <row r="561" customFormat="false" ht="17.25" hidden="false" customHeight="false" outlineLevel="0" collapsed="false">
      <c r="B561" s="9" t="n">
        <v>3630</v>
      </c>
      <c r="C561" s="9" t="s">
        <v>1308</v>
      </c>
      <c r="D561" s="9" t="s">
        <v>849</v>
      </c>
      <c r="E561" s="9" t="s">
        <v>1309</v>
      </c>
      <c r="F561" s="10" t="s">
        <v>299</v>
      </c>
      <c r="G561" s="10" t="n">
        <v>20320</v>
      </c>
      <c r="H561" s="10" t="n">
        <v>20320</v>
      </c>
      <c r="I561" s="11" t="s">
        <v>751</v>
      </c>
      <c r="J561" s="9" t="s">
        <v>752</v>
      </c>
      <c r="K561" s="9" t="s">
        <v>7</v>
      </c>
      <c r="L561" s="9" t="s">
        <v>7</v>
      </c>
      <c r="M561" s="9" t="n">
        <v>965.2</v>
      </c>
      <c r="N561" s="9" t="n">
        <v>1871.8784</v>
      </c>
      <c r="O561" s="9" t="n">
        <v>23157.0784</v>
      </c>
    </row>
    <row r="562" customFormat="false" ht="17.25" hidden="false" customHeight="false" outlineLevel="0" collapsed="false">
      <c r="B562" s="9" t="n">
        <v>3631</v>
      </c>
      <c r="C562" s="9" t="s">
        <v>1310</v>
      </c>
      <c r="D562" s="9" t="s">
        <v>846</v>
      </c>
      <c r="E562" s="9" t="s">
        <v>1311</v>
      </c>
      <c r="F562" s="10" t="s">
        <v>299</v>
      </c>
      <c r="G562" s="10" t="n">
        <v>25680</v>
      </c>
      <c r="H562" s="10" t="n">
        <v>25680</v>
      </c>
      <c r="I562" s="11" t="s">
        <v>773</v>
      </c>
      <c r="J562" s="9" t="s">
        <v>774</v>
      </c>
      <c r="K562" s="9" t="s">
        <v>7</v>
      </c>
      <c r="L562" s="9" t="s">
        <v>7</v>
      </c>
      <c r="M562" s="9" t="n">
        <v>0</v>
      </c>
      <c r="N562" s="9" t="n">
        <v>1974</v>
      </c>
      <c r="O562" s="9" t="n">
        <v>27654</v>
      </c>
    </row>
    <row r="563" customFormat="false" ht="17.25" hidden="false" customHeight="false" outlineLevel="0" collapsed="false">
      <c r="B563" s="9" t="n">
        <v>3632</v>
      </c>
      <c r="C563" s="9" t="s">
        <v>1312</v>
      </c>
      <c r="D563" s="9" t="s">
        <v>1313</v>
      </c>
      <c r="E563" s="9" t="s">
        <v>124</v>
      </c>
      <c r="F563" s="10" t="s">
        <v>750</v>
      </c>
      <c r="G563" s="10" t="n">
        <v>163770</v>
      </c>
      <c r="H563" s="10" t="n">
        <v>163770</v>
      </c>
      <c r="I563" s="11" t="s">
        <v>1314</v>
      </c>
      <c r="J563" s="9" t="s">
        <v>752</v>
      </c>
      <c r="K563" s="9" t="s">
        <v>7</v>
      </c>
      <c r="L563" s="9" t="s">
        <v>7</v>
      </c>
      <c r="M563" s="9" t="n">
        <v>0</v>
      </c>
      <c r="N563" s="9" t="n">
        <v>1974</v>
      </c>
      <c r="O563" s="9" t="n">
        <v>165744</v>
      </c>
    </row>
    <row r="564" customFormat="false" ht="17.25" hidden="false" customHeight="false" outlineLevel="0" collapsed="false">
      <c r="B564" s="9" t="n">
        <v>3633</v>
      </c>
      <c r="C564" s="9" t="s">
        <v>1315</v>
      </c>
      <c r="D564" s="9" t="s">
        <v>619</v>
      </c>
      <c r="E564" s="9" t="s">
        <v>1316</v>
      </c>
      <c r="F564" s="10" t="s">
        <v>299</v>
      </c>
      <c r="G564" s="10" t="n">
        <v>22470</v>
      </c>
      <c r="H564" s="10" t="n">
        <v>22470</v>
      </c>
      <c r="I564" s="11" t="s">
        <v>751</v>
      </c>
      <c r="J564" s="9" t="s">
        <v>752</v>
      </c>
      <c r="K564" s="9" t="s">
        <v>7</v>
      </c>
      <c r="L564" s="9" t="s">
        <v>7</v>
      </c>
      <c r="M564" s="9" t="n">
        <v>0</v>
      </c>
      <c r="N564" s="9" t="n">
        <v>1974</v>
      </c>
      <c r="O564" s="9" t="n">
        <v>24444</v>
      </c>
    </row>
    <row r="565" customFormat="false" ht="17.25" hidden="false" customHeight="false" outlineLevel="0" collapsed="false">
      <c r="B565" s="9" t="n">
        <v>3634</v>
      </c>
      <c r="C565" s="9" t="s">
        <v>1317</v>
      </c>
      <c r="D565" s="9" t="s">
        <v>1147</v>
      </c>
      <c r="E565" s="9" t="s">
        <v>1318</v>
      </c>
      <c r="F565" s="10" t="s">
        <v>299</v>
      </c>
      <c r="G565" s="10" t="n">
        <v>18500</v>
      </c>
      <c r="H565" s="10" t="n">
        <v>18500</v>
      </c>
      <c r="I565" s="11" t="s">
        <v>799</v>
      </c>
      <c r="J565" s="9" t="s">
        <v>739</v>
      </c>
      <c r="K565" s="9" t="s">
        <v>7</v>
      </c>
      <c r="L565" s="9" t="s">
        <v>7</v>
      </c>
      <c r="M565" s="9" t="n">
        <v>878.75</v>
      </c>
      <c r="N565" s="9" t="n">
        <v>1704.22</v>
      </c>
      <c r="O565" s="9" t="n">
        <v>21082.97</v>
      </c>
    </row>
    <row r="566" customFormat="false" ht="17.25" hidden="false" customHeight="false" outlineLevel="0" collapsed="false">
      <c r="B566" s="9" t="n">
        <v>3635</v>
      </c>
      <c r="C566" s="9" t="s">
        <v>1319</v>
      </c>
      <c r="D566" s="9" t="s">
        <v>619</v>
      </c>
      <c r="E566" s="9" t="s">
        <v>1320</v>
      </c>
      <c r="F566" s="10" t="s">
        <v>299</v>
      </c>
      <c r="G566" s="10" t="n">
        <v>19160</v>
      </c>
      <c r="H566" s="10" t="n">
        <v>19160</v>
      </c>
      <c r="I566" s="11" t="s">
        <v>759</v>
      </c>
      <c r="J566" s="9" t="s">
        <v>760</v>
      </c>
      <c r="K566" s="9" t="s">
        <v>7</v>
      </c>
      <c r="L566" s="9" t="s">
        <v>17</v>
      </c>
      <c r="M566" s="9" t="n">
        <v>910.1</v>
      </c>
      <c r="N566" s="9" t="n">
        <v>1765.0192</v>
      </c>
      <c r="O566" s="9" t="n">
        <v>21835.1192</v>
      </c>
    </row>
    <row r="567" customFormat="false" ht="17.25" hidden="false" customHeight="false" outlineLevel="0" collapsed="false">
      <c r="B567" s="9" t="n">
        <v>3639</v>
      </c>
      <c r="C567" s="9" t="s">
        <v>1321</v>
      </c>
      <c r="D567" s="9" t="s">
        <v>619</v>
      </c>
      <c r="E567" s="9" t="s">
        <v>1047</v>
      </c>
      <c r="F567" s="10" t="s">
        <v>87</v>
      </c>
      <c r="G567" s="10" t="n">
        <v>28270</v>
      </c>
      <c r="H567" s="10" t="n">
        <v>28270</v>
      </c>
      <c r="I567" s="11" t="s">
        <v>773</v>
      </c>
      <c r="J567" s="9" t="s">
        <v>774</v>
      </c>
      <c r="K567" s="9" t="s">
        <v>7</v>
      </c>
      <c r="L567" s="9" t="s">
        <v>7</v>
      </c>
      <c r="M567" s="9" t="n">
        <v>0</v>
      </c>
      <c r="N567" s="9" t="n">
        <v>1974</v>
      </c>
      <c r="O567" s="9" t="n">
        <v>30244</v>
      </c>
    </row>
    <row r="568" customFormat="false" ht="17.25" hidden="false" customHeight="false" outlineLevel="0" collapsed="false">
      <c r="B568" s="9" t="n">
        <v>3640</v>
      </c>
      <c r="C568" s="9" t="s">
        <v>1322</v>
      </c>
      <c r="D568" s="9" t="s">
        <v>619</v>
      </c>
      <c r="E568" s="9" t="s">
        <v>167</v>
      </c>
      <c r="F568" s="10" t="s">
        <v>299</v>
      </c>
      <c r="G568" s="10" t="n">
        <v>21270</v>
      </c>
      <c r="H568" s="10" t="n">
        <v>21270</v>
      </c>
      <c r="I568" s="11" t="s">
        <v>751</v>
      </c>
      <c r="J568" s="9" t="s">
        <v>752</v>
      </c>
      <c r="K568" s="9" t="s">
        <v>7</v>
      </c>
      <c r="L568" s="9" t="s">
        <v>7</v>
      </c>
      <c r="M568" s="9" t="n">
        <v>0</v>
      </c>
      <c r="N568" s="9" t="n">
        <v>1959.3924</v>
      </c>
      <c r="O568" s="9" t="n">
        <v>23229.3924</v>
      </c>
    </row>
    <row r="569" customFormat="false" ht="17.25" hidden="false" customHeight="false" outlineLevel="0" collapsed="false">
      <c r="B569" s="9" t="n">
        <v>3641</v>
      </c>
      <c r="C569" s="9" t="s">
        <v>1323</v>
      </c>
      <c r="D569" s="9" t="s">
        <v>846</v>
      </c>
      <c r="E569" s="9" t="s">
        <v>1324</v>
      </c>
      <c r="F569" s="10" t="s">
        <v>87</v>
      </c>
      <c r="G569" s="10" t="n">
        <v>28260</v>
      </c>
      <c r="H569" s="10" t="n">
        <v>28260</v>
      </c>
      <c r="I569" s="11" t="s">
        <v>773</v>
      </c>
      <c r="J569" s="9" t="s">
        <v>774</v>
      </c>
      <c r="K569" s="9" t="s">
        <v>7</v>
      </c>
      <c r="L569" s="9" t="s">
        <v>7</v>
      </c>
      <c r="M569" s="9" t="n">
        <v>0</v>
      </c>
      <c r="N569" s="9" t="n">
        <v>1974</v>
      </c>
      <c r="O569" s="9" t="n">
        <v>30234</v>
      </c>
    </row>
    <row r="570" customFormat="false" ht="17.25" hidden="false" customHeight="false" outlineLevel="0" collapsed="false">
      <c r="B570" s="9" t="n">
        <v>3644</v>
      </c>
      <c r="C570" s="9" t="s">
        <v>1325</v>
      </c>
      <c r="D570" s="9" t="s">
        <v>619</v>
      </c>
      <c r="E570" s="9" t="s">
        <v>1326</v>
      </c>
      <c r="F570" s="10" t="s">
        <v>299</v>
      </c>
      <c r="G570" s="10" t="n">
        <v>26620</v>
      </c>
      <c r="H570" s="10" t="n">
        <v>26620</v>
      </c>
      <c r="I570" s="11" t="s">
        <v>751</v>
      </c>
      <c r="J570" s="9" t="s">
        <v>752</v>
      </c>
      <c r="K570" s="9" t="s">
        <v>7</v>
      </c>
      <c r="L570" s="9" t="s">
        <v>4</v>
      </c>
      <c r="M570" s="9" t="n">
        <v>0</v>
      </c>
      <c r="N570" s="9" t="n">
        <v>1974</v>
      </c>
      <c r="O570" s="9" t="n">
        <v>28594</v>
      </c>
    </row>
    <row r="571" customFormat="false" ht="17.25" hidden="false" customHeight="false" outlineLevel="0" collapsed="false">
      <c r="B571" s="9" t="n">
        <v>3645</v>
      </c>
      <c r="C571" s="9" t="s">
        <v>1327</v>
      </c>
      <c r="D571" s="9" t="s">
        <v>787</v>
      </c>
      <c r="E571" s="9" t="s">
        <v>1328</v>
      </c>
      <c r="F571" s="10" t="s">
        <v>299</v>
      </c>
      <c r="G571" s="10" t="n">
        <v>26250</v>
      </c>
      <c r="H571" s="10" t="n">
        <v>26250</v>
      </c>
      <c r="I571" s="11" t="s">
        <v>751</v>
      </c>
      <c r="J571" s="9" t="s">
        <v>752</v>
      </c>
      <c r="K571" s="9" t="s">
        <v>7</v>
      </c>
      <c r="L571" s="9" t="s">
        <v>7</v>
      </c>
      <c r="M571" s="9" t="n">
        <v>0</v>
      </c>
      <c r="N571" s="9" t="n">
        <v>1974</v>
      </c>
      <c r="O571" s="9" t="n">
        <v>28224</v>
      </c>
    </row>
    <row r="572" customFormat="false" ht="17.25" hidden="false" customHeight="false" outlineLevel="0" collapsed="false">
      <c r="B572" s="9" t="n">
        <v>3646</v>
      </c>
      <c r="C572" s="9" t="s">
        <v>1329</v>
      </c>
      <c r="D572" s="9" t="s">
        <v>1306</v>
      </c>
      <c r="E572" s="9" t="s">
        <v>1330</v>
      </c>
      <c r="F572" s="10" t="s">
        <v>331</v>
      </c>
      <c r="G572" s="10" t="n">
        <v>15970</v>
      </c>
      <c r="H572" s="10" t="n">
        <v>15970</v>
      </c>
      <c r="I572" s="11" t="s">
        <v>773</v>
      </c>
      <c r="J572" s="9" t="s">
        <v>773</v>
      </c>
      <c r="K572" s="9" t="s">
        <v>7</v>
      </c>
      <c r="L572" s="9" t="s">
        <v>7</v>
      </c>
      <c r="M572" s="9" t="n">
        <v>758.575</v>
      </c>
      <c r="N572" s="9" t="n">
        <v>1471.1564</v>
      </c>
      <c r="O572" s="9" t="n">
        <v>18199.7314</v>
      </c>
    </row>
    <row r="573" customFormat="false" ht="17.25" hidden="false" customHeight="false" outlineLevel="0" collapsed="false">
      <c r="B573" s="9" t="n">
        <v>3647</v>
      </c>
      <c r="C573" s="9" t="s">
        <v>1331</v>
      </c>
      <c r="D573" s="9" t="s">
        <v>619</v>
      </c>
      <c r="E573" s="9" t="s">
        <v>1332</v>
      </c>
      <c r="F573" s="10" t="s">
        <v>299</v>
      </c>
      <c r="G573" s="10" t="n">
        <v>19750</v>
      </c>
      <c r="H573" s="10" t="n">
        <v>19750</v>
      </c>
      <c r="I573" s="11" t="s">
        <v>799</v>
      </c>
      <c r="J573" s="9" t="s">
        <v>739</v>
      </c>
      <c r="K573" s="9" t="s">
        <v>7</v>
      </c>
      <c r="L573" s="9" t="s">
        <v>7</v>
      </c>
      <c r="M573" s="9" t="n">
        <v>938.125</v>
      </c>
      <c r="N573" s="9" t="n">
        <v>1819.37</v>
      </c>
      <c r="O573" s="9" t="n">
        <v>22507.495</v>
      </c>
    </row>
    <row r="574" customFormat="false" ht="17.25" hidden="false" customHeight="false" outlineLevel="0" collapsed="false">
      <c r="B574" s="9" t="n">
        <v>3650</v>
      </c>
      <c r="C574" s="9" t="s">
        <v>1333</v>
      </c>
      <c r="D574" s="9" t="s">
        <v>757</v>
      </c>
      <c r="E574" s="9" t="s">
        <v>1334</v>
      </c>
      <c r="F574" s="10" t="s">
        <v>64</v>
      </c>
      <c r="G574" s="10" t="n">
        <v>42000</v>
      </c>
      <c r="H574" s="10" t="n">
        <v>42000</v>
      </c>
      <c r="I574" s="11" t="s">
        <v>984</v>
      </c>
      <c r="J574" s="9" t="s">
        <v>743</v>
      </c>
      <c r="K574" s="9" t="s">
        <v>7</v>
      </c>
      <c r="L574" s="9" t="s">
        <v>5</v>
      </c>
      <c r="M574" s="9" t="n">
        <v>0</v>
      </c>
      <c r="N574" s="9" t="n">
        <v>1974</v>
      </c>
      <c r="O574" s="9" t="n">
        <v>43974</v>
      </c>
    </row>
    <row r="575" customFormat="false" ht="17.25" hidden="false" customHeight="false" outlineLevel="0" collapsed="false">
      <c r="B575" s="9" t="n">
        <v>3651</v>
      </c>
      <c r="C575" s="9" t="s">
        <v>1335</v>
      </c>
      <c r="D575" s="9" t="s">
        <v>1336</v>
      </c>
      <c r="E575" s="9" t="n">
        <v>40980</v>
      </c>
      <c r="F575" s="10" t="s">
        <v>146</v>
      </c>
      <c r="G575" s="10" t="n">
        <v>67760</v>
      </c>
      <c r="H575" s="10" t="n">
        <v>67760</v>
      </c>
      <c r="I575" s="11" t="s">
        <v>742</v>
      </c>
      <c r="J575" s="9" t="s">
        <v>743</v>
      </c>
      <c r="K575" s="9" t="s">
        <v>7</v>
      </c>
      <c r="L575" s="9" t="s">
        <v>4</v>
      </c>
      <c r="M575" s="9" t="n">
        <v>0</v>
      </c>
      <c r="N575" s="9" t="n">
        <v>1974</v>
      </c>
      <c r="O575" s="9" t="n">
        <v>69734</v>
      </c>
    </row>
    <row r="576" customFormat="false" ht="17.25" hidden="false" customHeight="false" outlineLevel="0" collapsed="false">
      <c r="B576" s="9" t="n">
        <v>3652</v>
      </c>
      <c r="C576" s="9" t="s">
        <v>1337</v>
      </c>
      <c r="D576" s="9" t="s">
        <v>1338</v>
      </c>
      <c r="E576" s="9" t="s">
        <v>1339</v>
      </c>
      <c r="F576" s="10" t="s">
        <v>64</v>
      </c>
      <c r="G576" s="10" t="n">
        <v>49260</v>
      </c>
      <c r="H576" s="10" t="n">
        <v>49260</v>
      </c>
      <c r="I576" s="11" t="s">
        <v>773</v>
      </c>
      <c r="J576" s="9" t="s">
        <v>774</v>
      </c>
      <c r="K576" s="9" t="s">
        <v>7</v>
      </c>
      <c r="L576" s="9" t="s">
        <v>7</v>
      </c>
      <c r="M576" s="9" t="n">
        <v>0</v>
      </c>
      <c r="N576" s="9" t="n">
        <v>1974</v>
      </c>
      <c r="O576" s="9" t="n">
        <v>51234</v>
      </c>
    </row>
    <row r="577" customFormat="false" ht="17.25" hidden="false" customHeight="false" outlineLevel="0" collapsed="false">
      <c r="B577" s="9" t="n">
        <v>3654</v>
      </c>
      <c r="C577" s="9" t="s">
        <v>1340</v>
      </c>
      <c r="D577" s="9" t="s">
        <v>1341</v>
      </c>
      <c r="E577" s="9" t="s">
        <v>1101</v>
      </c>
      <c r="F577" s="10" t="s">
        <v>67</v>
      </c>
      <c r="G577" s="10" t="n">
        <v>11230</v>
      </c>
      <c r="H577" s="10" t="n">
        <v>11230</v>
      </c>
      <c r="I577" s="11" t="s">
        <v>773</v>
      </c>
      <c r="J577" s="9" t="s">
        <v>773</v>
      </c>
      <c r="K577" s="9" t="s">
        <v>7</v>
      </c>
      <c r="L577" s="9" t="s">
        <v>7</v>
      </c>
      <c r="M577" s="9" t="n">
        <v>533.425</v>
      </c>
      <c r="N577" s="9" t="n">
        <v>1034.5076</v>
      </c>
      <c r="O577" s="9" t="n">
        <v>12797.9326</v>
      </c>
    </row>
    <row r="578" customFormat="false" ht="17.25" hidden="false" customHeight="false" outlineLevel="0" collapsed="false">
      <c r="B578" s="9" t="n">
        <v>3655</v>
      </c>
      <c r="C578" s="9" t="s">
        <v>1342</v>
      </c>
      <c r="D578" s="9" t="s">
        <v>1147</v>
      </c>
      <c r="E578" s="9" t="s">
        <v>1343</v>
      </c>
      <c r="F578" s="10" t="s">
        <v>109</v>
      </c>
      <c r="G578" s="10" t="n">
        <v>16780</v>
      </c>
      <c r="H578" s="10" t="n">
        <v>16780</v>
      </c>
      <c r="I578" s="11" t="s">
        <v>839</v>
      </c>
      <c r="J578" s="9" t="s">
        <v>839</v>
      </c>
      <c r="K578" s="9" t="s">
        <v>7</v>
      </c>
      <c r="L578" s="9" t="s">
        <v>7</v>
      </c>
      <c r="M578" s="9" t="n">
        <v>797.05</v>
      </c>
      <c r="N578" s="9" t="n">
        <v>1545.7736</v>
      </c>
      <c r="O578" s="9" t="n">
        <v>19122.8236</v>
      </c>
    </row>
    <row r="579" customFormat="false" ht="17.25" hidden="false" customHeight="false" outlineLevel="0" collapsed="false">
      <c r="B579" s="9" t="n">
        <v>3656</v>
      </c>
      <c r="C579" s="9" t="s">
        <v>1344</v>
      </c>
      <c r="D579" s="9" t="s">
        <v>1147</v>
      </c>
      <c r="E579" s="9" t="s">
        <v>1345</v>
      </c>
      <c r="F579" s="10" t="s">
        <v>299</v>
      </c>
      <c r="G579" s="10" t="n">
        <v>20590</v>
      </c>
      <c r="H579" s="10" t="n">
        <v>20590</v>
      </c>
      <c r="I579" s="11" t="s">
        <v>688</v>
      </c>
      <c r="J579" s="9" t="s">
        <v>688</v>
      </c>
      <c r="K579" s="9" t="s">
        <v>7</v>
      </c>
      <c r="L579" s="9" t="s">
        <v>7</v>
      </c>
      <c r="M579" s="9" t="n">
        <v>978.025</v>
      </c>
      <c r="N579" s="9" t="n">
        <v>1896.7508</v>
      </c>
      <c r="O579" s="9" t="n">
        <v>23464.7758</v>
      </c>
    </row>
    <row r="580" customFormat="false" ht="17.25" hidden="false" customHeight="false" outlineLevel="0" collapsed="false">
      <c r="B580" s="9" t="n">
        <v>3658</v>
      </c>
      <c r="C580" s="9" t="s">
        <v>1346</v>
      </c>
      <c r="D580" s="9" t="s">
        <v>1147</v>
      </c>
      <c r="E580" s="9" t="s">
        <v>1347</v>
      </c>
      <c r="F580" s="10" t="s">
        <v>79</v>
      </c>
      <c r="G580" s="10" t="n">
        <v>17350</v>
      </c>
      <c r="H580" s="10" t="n">
        <v>17350</v>
      </c>
      <c r="I580" s="11" t="s">
        <v>799</v>
      </c>
      <c r="J580" s="9" t="s">
        <v>739</v>
      </c>
      <c r="K580" s="9" t="s">
        <v>7</v>
      </c>
      <c r="L580" s="9" t="s">
        <v>7</v>
      </c>
      <c r="M580" s="9" t="n">
        <v>824.125</v>
      </c>
      <c r="N580" s="9" t="n">
        <v>1598.282</v>
      </c>
      <c r="O580" s="9" t="n">
        <v>19772.407</v>
      </c>
    </row>
    <row r="581" customFormat="false" ht="17.25" hidden="false" customHeight="false" outlineLevel="0" collapsed="false">
      <c r="B581" s="9" t="n">
        <v>3662</v>
      </c>
      <c r="C581" s="9" t="s">
        <v>1348</v>
      </c>
      <c r="D581" s="9" t="s">
        <v>619</v>
      </c>
      <c r="E581" s="9" t="s">
        <v>1349</v>
      </c>
      <c r="F581" s="10" t="s">
        <v>87</v>
      </c>
      <c r="G581" s="10" t="n">
        <v>26640</v>
      </c>
      <c r="H581" s="10" t="n">
        <v>26640</v>
      </c>
      <c r="I581" s="11" t="s">
        <v>839</v>
      </c>
      <c r="J581" s="9" t="s">
        <v>839</v>
      </c>
      <c r="K581" s="9" t="s">
        <v>7</v>
      </c>
      <c r="L581" s="9" t="s">
        <v>7</v>
      </c>
      <c r="M581" s="9" t="n">
        <v>0</v>
      </c>
      <c r="N581" s="9" t="n">
        <v>1974</v>
      </c>
      <c r="O581" s="9" t="n">
        <v>28614</v>
      </c>
    </row>
    <row r="582" customFormat="false" ht="17.25" hidden="false" customHeight="false" outlineLevel="0" collapsed="false">
      <c r="B582" s="9" t="n">
        <v>3663</v>
      </c>
      <c r="C582" s="9" t="s">
        <v>1350</v>
      </c>
      <c r="D582" s="9" t="s">
        <v>1216</v>
      </c>
      <c r="E582" s="9" t="s">
        <v>1127</v>
      </c>
      <c r="F582" s="10" t="s">
        <v>299</v>
      </c>
      <c r="G582" s="10" t="n">
        <v>26640</v>
      </c>
      <c r="H582" s="10" t="n">
        <v>26640</v>
      </c>
      <c r="I582" s="11" t="s">
        <v>699</v>
      </c>
      <c r="J582" s="9" t="s">
        <v>734</v>
      </c>
      <c r="K582" s="9" t="s">
        <v>7</v>
      </c>
      <c r="L582" s="9" t="s">
        <v>7</v>
      </c>
      <c r="M582" s="9" t="n">
        <v>0</v>
      </c>
      <c r="N582" s="9" t="n">
        <v>1974</v>
      </c>
      <c r="O582" s="9" t="n">
        <v>28614</v>
      </c>
    </row>
    <row r="583" customFormat="false" ht="17.25" hidden="false" customHeight="false" outlineLevel="0" collapsed="false">
      <c r="B583" s="9" t="n">
        <v>3664</v>
      </c>
      <c r="C583" s="9" t="s">
        <v>1351</v>
      </c>
      <c r="D583" s="9" t="s">
        <v>771</v>
      </c>
      <c r="E583" s="9" t="s">
        <v>1103</v>
      </c>
      <c r="F583" s="10" t="s">
        <v>64</v>
      </c>
      <c r="G583" s="10" t="n">
        <v>55380</v>
      </c>
      <c r="H583" s="10" t="n">
        <v>55380</v>
      </c>
      <c r="I583" s="11" t="s">
        <v>1352</v>
      </c>
      <c r="J583" s="9" t="s">
        <v>734</v>
      </c>
      <c r="K583" s="9" t="s">
        <v>7</v>
      </c>
      <c r="L583" s="9" t="s">
        <v>13</v>
      </c>
      <c r="M583" s="9" t="n">
        <v>0</v>
      </c>
      <c r="N583" s="9" t="n">
        <v>1974</v>
      </c>
      <c r="O583" s="9" t="n">
        <v>57354</v>
      </c>
    </row>
    <row r="584" customFormat="false" ht="17.25" hidden="false" customHeight="false" outlineLevel="0" collapsed="false">
      <c r="B584" s="9" t="n">
        <v>3668</v>
      </c>
      <c r="C584" s="9" t="s">
        <v>1353</v>
      </c>
      <c r="D584" s="9" t="s">
        <v>787</v>
      </c>
      <c r="E584" s="9" t="s">
        <v>237</v>
      </c>
      <c r="F584" s="10" t="s">
        <v>299</v>
      </c>
      <c r="G584" s="10" t="n">
        <v>18930</v>
      </c>
      <c r="H584" s="10" t="n">
        <v>18930</v>
      </c>
      <c r="I584" s="11" t="s">
        <v>799</v>
      </c>
      <c r="J584" s="9" t="s">
        <v>739</v>
      </c>
      <c r="K584" s="9" t="s">
        <v>7</v>
      </c>
      <c r="L584" s="9" t="s">
        <v>17</v>
      </c>
      <c r="M584" s="9" t="n">
        <v>899.175</v>
      </c>
      <c r="N584" s="9" t="n">
        <v>1743.8316</v>
      </c>
      <c r="O584" s="9" t="n">
        <v>21573.0066</v>
      </c>
    </row>
    <row r="585" customFormat="false" ht="17.25" hidden="false" customHeight="false" outlineLevel="0" collapsed="false">
      <c r="B585" s="9" t="n">
        <v>3672</v>
      </c>
      <c r="C585" s="9" t="s">
        <v>1354</v>
      </c>
      <c r="D585" s="9" t="s">
        <v>1147</v>
      </c>
      <c r="E585" s="9" t="s">
        <v>1153</v>
      </c>
      <c r="F585" s="10" t="s">
        <v>299</v>
      </c>
      <c r="G585" s="10" t="n">
        <v>18690</v>
      </c>
      <c r="H585" s="10" t="n">
        <v>18690</v>
      </c>
      <c r="I585" s="11" t="s">
        <v>795</v>
      </c>
      <c r="J585" s="9" t="s">
        <v>734</v>
      </c>
      <c r="K585" s="9" t="s">
        <v>7</v>
      </c>
      <c r="L585" s="9" t="s">
        <v>3</v>
      </c>
      <c r="M585" s="9" t="n">
        <v>887.775</v>
      </c>
      <c r="N585" s="9" t="n">
        <v>1721.7228</v>
      </c>
      <c r="O585" s="9" t="n">
        <v>21299.4978</v>
      </c>
    </row>
    <row r="586" customFormat="false" ht="17.25" hidden="false" customHeight="false" outlineLevel="0" collapsed="false">
      <c r="B586" s="9" t="n">
        <v>3673</v>
      </c>
      <c r="C586" s="9" t="s">
        <v>1355</v>
      </c>
      <c r="D586" s="9" t="s">
        <v>895</v>
      </c>
      <c r="E586" s="9" t="s">
        <v>642</v>
      </c>
      <c r="F586" s="10" t="s">
        <v>109</v>
      </c>
      <c r="G586" s="10" t="n">
        <v>16310</v>
      </c>
      <c r="H586" s="10" t="n">
        <v>16310</v>
      </c>
      <c r="I586" s="11" t="s">
        <v>799</v>
      </c>
      <c r="J586" s="9" t="s">
        <v>739</v>
      </c>
      <c r="K586" s="9" t="s">
        <v>7</v>
      </c>
      <c r="L586" s="9" t="s">
        <v>7</v>
      </c>
      <c r="M586" s="9" t="n">
        <v>774.725</v>
      </c>
      <c r="N586" s="9" t="n">
        <v>1502.4772</v>
      </c>
      <c r="O586" s="9" t="n">
        <v>18587.2022</v>
      </c>
    </row>
    <row r="587" customFormat="false" ht="17.25" hidden="false" customHeight="false" outlineLevel="0" collapsed="false">
      <c r="B587" s="9" t="n">
        <v>3674</v>
      </c>
      <c r="C587" s="9" t="s">
        <v>1356</v>
      </c>
      <c r="D587" s="9" t="s">
        <v>797</v>
      </c>
      <c r="E587" s="9" t="s">
        <v>1357</v>
      </c>
      <c r="F587" s="10" t="s">
        <v>299</v>
      </c>
      <c r="G587" s="10" t="n">
        <v>20150</v>
      </c>
      <c r="H587" s="10" t="n">
        <v>20150</v>
      </c>
      <c r="I587" s="11" t="s">
        <v>799</v>
      </c>
      <c r="J587" s="9" t="s">
        <v>739</v>
      </c>
      <c r="K587" s="9" t="s">
        <v>7</v>
      </c>
      <c r="L587" s="9" t="s">
        <v>17</v>
      </c>
      <c r="M587" s="9" t="n">
        <v>957.125</v>
      </c>
      <c r="N587" s="9" t="n">
        <v>1856.218</v>
      </c>
      <c r="O587" s="9" t="n">
        <v>22963.343</v>
      </c>
    </row>
    <row r="588" customFormat="false" ht="17.25" hidden="false" customHeight="false" outlineLevel="0" collapsed="false">
      <c r="B588" s="9" t="n">
        <v>3675</v>
      </c>
      <c r="C588" s="9" t="s">
        <v>1358</v>
      </c>
      <c r="D588" s="9" t="s">
        <v>584</v>
      </c>
      <c r="E588" s="9" t="s">
        <v>1359</v>
      </c>
      <c r="F588" s="10" t="s">
        <v>79</v>
      </c>
      <c r="G588" s="10" t="n">
        <v>12680</v>
      </c>
      <c r="H588" s="10" t="n">
        <v>12680</v>
      </c>
      <c r="I588" s="11" t="s">
        <v>773</v>
      </c>
      <c r="J588" s="9" t="s">
        <v>773</v>
      </c>
      <c r="K588" s="9" t="s">
        <v>7</v>
      </c>
      <c r="L588" s="9" t="s">
        <v>7</v>
      </c>
      <c r="M588" s="9" t="n">
        <v>602.3</v>
      </c>
      <c r="N588" s="9" t="n">
        <v>1168.0816</v>
      </c>
      <c r="O588" s="9" t="n">
        <v>14450.3816</v>
      </c>
    </row>
    <row r="589" customFormat="false" ht="17.25" hidden="false" customHeight="false" outlineLevel="0" collapsed="false">
      <c r="B589" s="9" t="n">
        <v>3682</v>
      </c>
      <c r="C589" s="9" t="s">
        <v>1360</v>
      </c>
      <c r="D589" s="9" t="s">
        <v>965</v>
      </c>
      <c r="E589" s="9" t="s">
        <v>1361</v>
      </c>
      <c r="F589" s="10" t="s">
        <v>58</v>
      </c>
      <c r="G589" s="10" t="n">
        <v>32300</v>
      </c>
      <c r="H589" s="10" t="n">
        <v>32300</v>
      </c>
      <c r="I589" s="11" t="s">
        <v>751</v>
      </c>
      <c r="J589" s="9" t="s">
        <v>752</v>
      </c>
      <c r="K589" s="9" t="s">
        <v>7</v>
      </c>
      <c r="L589" s="9" t="s">
        <v>7</v>
      </c>
      <c r="M589" s="9" t="n">
        <v>0</v>
      </c>
      <c r="N589" s="9" t="n">
        <v>1974</v>
      </c>
      <c r="O589" s="9" t="n">
        <v>34274</v>
      </c>
    </row>
    <row r="590" customFormat="false" ht="17.25" hidden="false" customHeight="false" outlineLevel="0" collapsed="false">
      <c r="B590" s="9" t="n">
        <v>3683</v>
      </c>
      <c r="C590" s="9" t="s">
        <v>1362</v>
      </c>
      <c r="D590" s="9" t="s">
        <v>1007</v>
      </c>
      <c r="E590" s="9" t="s">
        <v>1363</v>
      </c>
      <c r="F590" s="10" t="s">
        <v>67</v>
      </c>
      <c r="G590" s="10" t="n">
        <v>11460</v>
      </c>
      <c r="H590" s="10" t="n">
        <v>11460</v>
      </c>
      <c r="I590" s="11" t="s">
        <v>773</v>
      </c>
      <c r="J590" s="9" t="s">
        <v>773</v>
      </c>
      <c r="K590" s="9" t="s">
        <v>7</v>
      </c>
      <c r="L590" s="9" t="s">
        <v>7</v>
      </c>
      <c r="M590" s="9" t="n">
        <v>544.35</v>
      </c>
      <c r="N590" s="9" t="n">
        <v>1055.6952</v>
      </c>
      <c r="O590" s="9" t="n">
        <v>13060.0452</v>
      </c>
    </row>
    <row r="591" customFormat="false" ht="17.25" hidden="false" customHeight="false" outlineLevel="0" collapsed="false">
      <c r="B591" s="9" t="n">
        <v>3684</v>
      </c>
      <c r="C591" s="9" t="s">
        <v>1364</v>
      </c>
      <c r="D591" s="9" t="s">
        <v>787</v>
      </c>
      <c r="E591" s="9" t="s">
        <v>1365</v>
      </c>
      <c r="F591" s="10" t="s">
        <v>299</v>
      </c>
      <c r="G591" s="10" t="n">
        <v>19150</v>
      </c>
      <c r="H591" s="10" t="n">
        <v>19150</v>
      </c>
      <c r="I591" s="11" t="s">
        <v>799</v>
      </c>
      <c r="J591" s="9" t="s">
        <v>739</v>
      </c>
      <c r="K591" s="9" t="s">
        <v>7</v>
      </c>
      <c r="L591" s="9" t="s">
        <v>7</v>
      </c>
      <c r="M591" s="9" t="n">
        <v>909.625</v>
      </c>
      <c r="N591" s="9" t="n">
        <v>1764.098</v>
      </c>
      <c r="O591" s="9" t="n">
        <v>21823.723</v>
      </c>
    </row>
    <row r="592" customFormat="false" ht="17.25" hidden="false" customHeight="false" outlineLevel="0" collapsed="false">
      <c r="B592" s="9" t="n">
        <v>3687</v>
      </c>
      <c r="C592" s="9" t="s">
        <v>1366</v>
      </c>
      <c r="D592" s="9" t="s">
        <v>1367</v>
      </c>
      <c r="E592" s="9" t="s">
        <v>1194</v>
      </c>
      <c r="F592" s="10" t="s">
        <v>109</v>
      </c>
      <c r="G592" s="10" t="n">
        <v>16990</v>
      </c>
      <c r="H592" s="10" t="n">
        <v>16990</v>
      </c>
      <c r="I592" s="11" t="s">
        <v>688</v>
      </c>
      <c r="J592" s="9" t="s">
        <v>688</v>
      </c>
      <c r="K592" s="9" t="s">
        <v>7</v>
      </c>
      <c r="L592" s="9" t="s">
        <v>7</v>
      </c>
      <c r="M592" s="9" t="n">
        <v>807.025</v>
      </c>
      <c r="N592" s="9" t="n">
        <v>1565.1188</v>
      </c>
      <c r="O592" s="9" t="n">
        <v>19362.1438</v>
      </c>
    </row>
    <row r="593" customFormat="false" ht="17.25" hidden="false" customHeight="false" outlineLevel="0" collapsed="false">
      <c r="B593" s="9" t="n">
        <v>3688</v>
      </c>
      <c r="C593" s="9" t="s">
        <v>1368</v>
      </c>
      <c r="D593" s="9" t="s">
        <v>584</v>
      </c>
      <c r="E593" s="9" t="s">
        <v>1166</v>
      </c>
      <c r="F593" s="10" t="s">
        <v>109</v>
      </c>
      <c r="G593" s="10" t="n">
        <v>12390</v>
      </c>
      <c r="H593" s="10" t="n">
        <v>12390</v>
      </c>
      <c r="I593" s="11" t="s">
        <v>799</v>
      </c>
      <c r="J593" s="9" t="s">
        <v>739</v>
      </c>
      <c r="K593" s="9" t="s">
        <v>7</v>
      </c>
      <c r="L593" s="9" t="s">
        <v>5</v>
      </c>
      <c r="M593" s="9" t="n">
        <v>588.525</v>
      </c>
      <c r="N593" s="9" t="n">
        <v>1141.3668</v>
      </c>
      <c r="O593" s="9" t="n">
        <v>14119.8918</v>
      </c>
    </row>
    <row r="594" customFormat="false" ht="17.25" hidden="false" customHeight="false" outlineLevel="0" collapsed="false">
      <c r="B594" s="9" t="n">
        <v>3696</v>
      </c>
      <c r="C594" s="9" t="s">
        <v>1369</v>
      </c>
      <c r="D594" s="9" t="s">
        <v>584</v>
      </c>
      <c r="E594" s="9" t="s">
        <v>1370</v>
      </c>
      <c r="F594" s="10" t="s">
        <v>67</v>
      </c>
      <c r="G594" s="10" t="n">
        <v>12640</v>
      </c>
      <c r="H594" s="10" t="n">
        <v>12640</v>
      </c>
      <c r="I594" s="11" t="s">
        <v>773</v>
      </c>
      <c r="J594" s="9" t="s">
        <v>773</v>
      </c>
      <c r="K594" s="9" t="s">
        <v>7</v>
      </c>
      <c r="L594" s="9" t="s">
        <v>7</v>
      </c>
      <c r="M594" s="9" t="n">
        <v>600.4</v>
      </c>
      <c r="N594" s="9" t="n">
        <v>1164.3968</v>
      </c>
      <c r="O594" s="9" t="n">
        <v>14404.7968</v>
      </c>
    </row>
    <row r="595" customFormat="false" ht="17.25" hidden="false" customHeight="false" outlineLevel="0" collapsed="false">
      <c r="B595" s="9" t="n">
        <v>3697</v>
      </c>
      <c r="C595" s="9" t="s">
        <v>1371</v>
      </c>
      <c r="D595" s="9" t="s">
        <v>1007</v>
      </c>
      <c r="E595" s="9" t="s">
        <v>335</v>
      </c>
      <c r="F595" s="10" t="s">
        <v>109</v>
      </c>
      <c r="G595" s="10" t="n">
        <v>16810</v>
      </c>
      <c r="H595" s="10" t="n">
        <v>16810</v>
      </c>
      <c r="I595" s="11" t="s">
        <v>799</v>
      </c>
      <c r="J595" s="9" t="s">
        <v>739</v>
      </c>
      <c r="K595" s="9" t="s">
        <v>7</v>
      </c>
      <c r="L595" s="9" t="s">
        <v>7</v>
      </c>
      <c r="M595" s="9" t="n">
        <v>798.475</v>
      </c>
      <c r="N595" s="9" t="n">
        <v>1548.5372</v>
      </c>
      <c r="O595" s="9" t="n">
        <v>19157.0122</v>
      </c>
    </row>
    <row r="596" customFormat="false" ht="17.25" hidden="false" customHeight="false" outlineLevel="0" collapsed="false">
      <c r="B596" s="9" t="n">
        <v>3714</v>
      </c>
      <c r="C596" s="9" t="s">
        <v>1372</v>
      </c>
      <c r="D596" s="9" t="s">
        <v>849</v>
      </c>
      <c r="E596" s="9" t="s">
        <v>1373</v>
      </c>
      <c r="F596" s="10" t="s">
        <v>67</v>
      </c>
      <c r="G596" s="10" t="n">
        <v>12120</v>
      </c>
      <c r="H596" s="10" t="n">
        <v>12120</v>
      </c>
      <c r="I596" s="11" t="s">
        <v>751</v>
      </c>
      <c r="J596" s="9" t="s">
        <v>752</v>
      </c>
      <c r="K596" s="9" t="s">
        <v>7</v>
      </c>
      <c r="L596" s="9" t="s">
        <v>7</v>
      </c>
      <c r="M596" s="9" t="n">
        <v>575.7</v>
      </c>
      <c r="N596" s="9" t="n">
        <v>1116.4944</v>
      </c>
      <c r="O596" s="9" t="n">
        <v>13812.1944</v>
      </c>
    </row>
    <row r="597" customFormat="false" ht="17.25" hidden="false" customHeight="false" outlineLevel="0" collapsed="false">
      <c r="B597" s="9" t="n">
        <v>3715</v>
      </c>
      <c r="C597" s="9" t="s">
        <v>1374</v>
      </c>
      <c r="D597" s="9" t="s">
        <v>1375</v>
      </c>
      <c r="E597" s="9" t="s">
        <v>1376</v>
      </c>
      <c r="F597" s="10" t="s">
        <v>58</v>
      </c>
      <c r="G597" s="10" t="n">
        <v>30410</v>
      </c>
      <c r="H597" s="10" t="n">
        <v>30410</v>
      </c>
      <c r="I597" s="11" t="s">
        <v>839</v>
      </c>
      <c r="J597" s="9" t="s">
        <v>839</v>
      </c>
      <c r="K597" s="9" t="s">
        <v>7</v>
      </c>
      <c r="L597" s="9" t="s">
        <v>7</v>
      </c>
      <c r="M597" s="9" t="n">
        <v>0</v>
      </c>
      <c r="N597" s="9" t="n">
        <v>1974</v>
      </c>
      <c r="O597" s="9" t="n">
        <v>32384</v>
      </c>
    </row>
    <row r="598" customFormat="false" ht="17.25" hidden="false" customHeight="false" outlineLevel="0" collapsed="false">
      <c r="B598" s="9" t="n">
        <v>3716</v>
      </c>
      <c r="C598" s="9" t="s">
        <v>1377</v>
      </c>
      <c r="D598" s="9" t="s">
        <v>1306</v>
      </c>
      <c r="E598" s="9" t="s">
        <v>1378</v>
      </c>
      <c r="F598" s="10" t="s">
        <v>331</v>
      </c>
      <c r="G598" s="10" t="n">
        <v>11100</v>
      </c>
      <c r="H598" s="10" t="n">
        <v>11100</v>
      </c>
      <c r="I598" s="11" t="s">
        <v>773</v>
      </c>
      <c r="J598" s="9" t="s">
        <v>773</v>
      </c>
      <c r="K598" s="9" t="s">
        <v>7</v>
      </c>
      <c r="L598" s="9" t="s">
        <v>7</v>
      </c>
      <c r="M598" s="9" t="n">
        <v>527.25</v>
      </c>
      <c r="N598" s="9" t="n">
        <v>1022.532</v>
      </c>
      <c r="O598" s="9" t="n">
        <v>12649.782</v>
      </c>
    </row>
    <row r="599" customFormat="false" ht="17.25" hidden="false" customHeight="false" outlineLevel="0" collapsed="false">
      <c r="B599" s="9" t="n">
        <v>3722</v>
      </c>
      <c r="C599" s="9" t="s">
        <v>1379</v>
      </c>
      <c r="D599" s="9" t="s">
        <v>771</v>
      </c>
      <c r="E599" s="9" t="s">
        <v>1380</v>
      </c>
      <c r="F599" s="10" t="s">
        <v>64</v>
      </c>
      <c r="G599" s="10" t="n">
        <v>50200</v>
      </c>
      <c r="H599" s="10" t="n">
        <v>50200</v>
      </c>
      <c r="I599" s="11" t="s">
        <v>751</v>
      </c>
      <c r="J599" s="9" t="s">
        <v>752</v>
      </c>
      <c r="K599" s="9" t="s">
        <v>7</v>
      </c>
      <c r="L599" s="9" t="s">
        <v>7</v>
      </c>
      <c r="M599" s="9" t="n">
        <v>0</v>
      </c>
      <c r="N599" s="9" t="n">
        <v>1974</v>
      </c>
      <c r="O599" s="9" t="n">
        <v>52174</v>
      </c>
    </row>
    <row r="600" customFormat="false" ht="17.25" hidden="false" customHeight="false" outlineLevel="0" collapsed="false">
      <c r="B600" s="9" t="n">
        <v>3729</v>
      </c>
      <c r="C600" s="9" t="s">
        <v>1381</v>
      </c>
      <c r="D600" s="9" t="s">
        <v>898</v>
      </c>
      <c r="E600" s="9" t="s">
        <v>1382</v>
      </c>
      <c r="F600" s="10" t="s">
        <v>64</v>
      </c>
      <c r="G600" s="10" t="n">
        <v>38720</v>
      </c>
      <c r="H600" s="10" t="n">
        <v>38720</v>
      </c>
      <c r="I600" s="11" t="s">
        <v>839</v>
      </c>
      <c r="J600" s="9" t="s">
        <v>839</v>
      </c>
      <c r="K600" s="9" t="s">
        <v>7</v>
      </c>
      <c r="L600" s="9" t="s">
        <v>13</v>
      </c>
      <c r="M600" s="9" t="n">
        <v>0</v>
      </c>
      <c r="N600" s="9" t="n">
        <v>1974</v>
      </c>
      <c r="O600" s="9" t="n">
        <v>40694</v>
      </c>
    </row>
    <row r="601" customFormat="false" ht="17.25" hidden="false" customHeight="false" outlineLevel="0" collapsed="false">
      <c r="B601" s="9" t="n">
        <v>3732</v>
      </c>
      <c r="C601" s="9" t="s">
        <v>1383</v>
      </c>
      <c r="D601" s="9" t="s">
        <v>1287</v>
      </c>
      <c r="E601" s="9" t="s">
        <v>344</v>
      </c>
      <c r="F601" s="10" t="s">
        <v>87</v>
      </c>
      <c r="G601" s="10" t="n">
        <v>31320</v>
      </c>
      <c r="H601" s="10" t="n">
        <v>31320</v>
      </c>
      <c r="I601" s="11" t="s">
        <v>759</v>
      </c>
      <c r="J601" s="9" t="s">
        <v>760</v>
      </c>
      <c r="K601" s="9" t="s">
        <v>7</v>
      </c>
      <c r="L601" s="9" t="s">
        <v>7</v>
      </c>
      <c r="M601" s="9" t="n">
        <v>0</v>
      </c>
      <c r="N601" s="9" t="n">
        <v>1974</v>
      </c>
      <c r="O601" s="9" t="n">
        <v>33294</v>
      </c>
    </row>
    <row r="602" customFormat="false" ht="17.25" hidden="false" customHeight="false" outlineLevel="0" collapsed="false">
      <c r="B602" s="9" t="n">
        <v>4962</v>
      </c>
      <c r="C602" s="9" t="s">
        <v>1384</v>
      </c>
      <c r="D602" s="9" t="s">
        <v>1385</v>
      </c>
      <c r="E602" s="9" t="s">
        <v>1386</v>
      </c>
      <c r="F602" s="10" t="s">
        <v>331</v>
      </c>
      <c r="G602" s="10" t="n">
        <v>10000</v>
      </c>
      <c r="H602" s="10" t="n">
        <v>6340</v>
      </c>
      <c r="I602" s="11" t="s">
        <v>688</v>
      </c>
      <c r="J602" s="9" t="s">
        <v>688</v>
      </c>
      <c r="K602" s="9" t="s">
        <v>7</v>
      </c>
      <c r="L602" s="9" t="s">
        <v>7</v>
      </c>
      <c r="M602" s="9" t="n">
        <v>301.15</v>
      </c>
      <c r="N602" s="9" t="n">
        <v>584.0408</v>
      </c>
      <c r="O602" s="9" t="n">
        <v>7225.1908</v>
      </c>
    </row>
    <row r="603" customFormat="false" ht="17.25" hidden="false" customHeight="false" outlineLevel="0" collapsed="false">
      <c r="B603" s="9" t="n">
        <v>3745</v>
      </c>
      <c r="C603" s="9" t="s">
        <v>1387</v>
      </c>
      <c r="D603" s="9" t="s">
        <v>584</v>
      </c>
      <c r="E603" s="9" t="s">
        <v>1388</v>
      </c>
      <c r="F603" s="10" t="s">
        <v>109</v>
      </c>
      <c r="G603" s="10" t="n">
        <v>13000</v>
      </c>
      <c r="H603" s="10" t="n">
        <v>10400</v>
      </c>
      <c r="I603" s="11" t="s">
        <v>984</v>
      </c>
      <c r="J603" s="9" t="s">
        <v>743</v>
      </c>
      <c r="K603" s="9" t="s">
        <v>7</v>
      </c>
      <c r="L603" s="9" t="s">
        <v>7</v>
      </c>
      <c r="M603" s="9" t="n">
        <v>494</v>
      </c>
      <c r="N603" s="9" t="n">
        <v>958.048</v>
      </c>
      <c r="O603" s="9" t="n">
        <v>11852.048</v>
      </c>
    </row>
    <row r="604" customFormat="false" ht="17.25" hidden="false" customHeight="false" outlineLevel="0" collapsed="false">
      <c r="B604" s="9" t="n">
        <v>3747</v>
      </c>
      <c r="C604" s="9" t="s">
        <v>1389</v>
      </c>
      <c r="D604" s="9" t="s">
        <v>584</v>
      </c>
      <c r="E604" s="9" t="s">
        <v>664</v>
      </c>
      <c r="F604" s="10" t="s">
        <v>109</v>
      </c>
      <c r="G604" s="10" t="n">
        <v>12360</v>
      </c>
      <c r="H604" s="10" t="n">
        <v>12360</v>
      </c>
      <c r="I604" s="11" t="s">
        <v>799</v>
      </c>
      <c r="J604" s="9" t="s">
        <v>739</v>
      </c>
      <c r="K604" s="9" t="s">
        <v>7</v>
      </c>
      <c r="L604" s="9" t="s">
        <v>7</v>
      </c>
      <c r="M604" s="9" t="n">
        <v>587.1</v>
      </c>
      <c r="N604" s="9" t="n">
        <v>1138.6032</v>
      </c>
      <c r="O604" s="9" t="n">
        <v>14085.7032</v>
      </c>
    </row>
    <row r="605" customFormat="false" ht="17.25" hidden="false" customHeight="false" outlineLevel="0" collapsed="false">
      <c r="B605" s="9" t="n">
        <v>3748</v>
      </c>
      <c r="C605" s="9" t="s">
        <v>1390</v>
      </c>
      <c r="D605" s="9" t="s">
        <v>1391</v>
      </c>
      <c r="E605" s="9" t="s">
        <v>1392</v>
      </c>
      <c r="F605" s="10" t="s">
        <v>299</v>
      </c>
      <c r="G605" s="10" t="n">
        <v>19330</v>
      </c>
      <c r="H605" s="10" t="n">
        <v>19330</v>
      </c>
      <c r="I605" s="11" t="s">
        <v>751</v>
      </c>
      <c r="J605" s="9" t="s">
        <v>752</v>
      </c>
      <c r="K605" s="9" t="s">
        <v>7</v>
      </c>
      <c r="L605" s="9" t="s">
        <v>7</v>
      </c>
      <c r="M605" s="9" t="n">
        <v>918.175</v>
      </c>
      <c r="N605" s="9" t="n">
        <v>1780.6796</v>
      </c>
      <c r="O605" s="9" t="n">
        <v>22028.8546</v>
      </c>
    </row>
    <row r="606" customFormat="false" ht="17.25" hidden="false" customHeight="false" outlineLevel="0" collapsed="false">
      <c r="B606" s="9" t="n">
        <v>3757</v>
      </c>
      <c r="C606" s="9" t="s">
        <v>1393</v>
      </c>
      <c r="D606" s="9" t="s">
        <v>1394</v>
      </c>
      <c r="E606" s="9" t="s">
        <v>1395</v>
      </c>
      <c r="F606" s="10" t="s">
        <v>146</v>
      </c>
      <c r="G606" s="10" t="n">
        <v>87500</v>
      </c>
      <c r="H606" s="10" t="n">
        <v>87500</v>
      </c>
      <c r="I606" s="11" t="s">
        <v>762</v>
      </c>
      <c r="J606" s="9" t="s">
        <v>688</v>
      </c>
      <c r="K606" s="9" t="s">
        <v>5</v>
      </c>
      <c r="L606" s="9" t="s">
        <v>13</v>
      </c>
      <c r="M606" s="9" t="n">
        <v>0</v>
      </c>
      <c r="N606" s="9" t="n">
        <v>1974</v>
      </c>
      <c r="O606" s="9" t="n">
        <v>89474</v>
      </c>
    </row>
    <row r="607" customFormat="false" ht="17.25" hidden="false" customHeight="false" outlineLevel="0" collapsed="false">
      <c r="B607" s="9" t="n">
        <v>3758</v>
      </c>
      <c r="C607" s="9" t="s">
        <v>1396</v>
      </c>
      <c r="D607" s="9" t="s">
        <v>584</v>
      </c>
      <c r="E607" s="9" t="s">
        <v>1397</v>
      </c>
      <c r="F607" s="10" t="s">
        <v>109</v>
      </c>
      <c r="G607" s="10" t="n">
        <v>13160</v>
      </c>
      <c r="H607" s="10" t="n">
        <v>13160</v>
      </c>
      <c r="I607" s="11" t="s">
        <v>762</v>
      </c>
      <c r="J607" s="9" t="s">
        <v>688</v>
      </c>
      <c r="K607" s="9" t="s">
        <v>5</v>
      </c>
      <c r="L607" s="9" t="s">
        <v>4</v>
      </c>
      <c r="M607" s="9" t="n">
        <v>625.1</v>
      </c>
      <c r="N607" s="9" t="n">
        <v>1212.2992</v>
      </c>
      <c r="O607" s="9" t="n">
        <v>14997.3992</v>
      </c>
    </row>
    <row r="608" customFormat="false" ht="17.25" hidden="false" customHeight="false" outlineLevel="0" collapsed="false">
      <c r="B608" s="9" t="n">
        <v>3759</v>
      </c>
      <c r="C608" s="9" t="s">
        <v>1398</v>
      </c>
      <c r="D608" s="9" t="s">
        <v>1007</v>
      </c>
      <c r="E608" s="9" t="s">
        <v>1399</v>
      </c>
      <c r="F608" s="10" t="s">
        <v>109</v>
      </c>
      <c r="G608" s="10" t="n">
        <v>14260</v>
      </c>
      <c r="H608" s="10" t="n">
        <v>14260</v>
      </c>
      <c r="I608" s="11" t="s">
        <v>1041</v>
      </c>
      <c r="J608" s="9" t="s">
        <v>1041</v>
      </c>
      <c r="K608" s="9" t="s">
        <v>5</v>
      </c>
      <c r="L608" s="9" t="s">
        <v>14</v>
      </c>
      <c r="M608" s="9" t="n">
        <v>677.35</v>
      </c>
      <c r="N608" s="9" t="n">
        <v>1313.6312</v>
      </c>
      <c r="O608" s="9" t="n">
        <v>16250.9812</v>
      </c>
    </row>
    <row r="609" customFormat="false" ht="17.25" hidden="false" customHeight="false" outlineLevel="0" collapsed="false">
      <c r="B609" s="9" t="n">
        <v>3760</v>
      </c>
      <c r="C609" s="9" t="s">
        <v>1400</v>
      </c>
      <c r="D609" s="9" t="s">
        <v>1401</v>
      </c>
      <c r="E609" s="9" t="s">
        <v>1402</v>
      </c>
      <c r="F609" s="10" t="s">
        <v>338</v>
      </c>
      <c r="G609" s="10" t="n">
        <v>11450</v>
      </c>
      <c r="H609" s="10" t="n">
        <v>11450</v>
      </c>
      <c r="I609" s="11" t="s">
        <v>762</v>
      </c>
      <c r="J609" s="9" t="s">
        <v>688</v>
      </c>
      <c r="K609" s="9" t="s">
        <v>5</v>
      </c>
      <c r="L609" s="9" t="s">
        <v>4</v>
      </c>
      <c r="M609" s="9" t="n">
        <v>543.875</v>
      </c>
      <c r="N609" s="9" t="n">
        <v>1054.774</v>
      </c>
      <c r="O609" s="9" t="n">
        <v>13048.649</v>
      </c>
    </row>
    <row r="610" customFormat="false" ht="17.25" hidden="false" customHeight="false" outlineLevel="0" collapsed="false">
      <c r="B610" s="9" t="n">
        <v>3769</v>
      </c>
      <c r="C610" s="9" t="s">
        <v>1403</v>
      </c>
      <c r="D610" s="9" t="s">
        <v>1367</v>
      </c>
      <c r="E610" s="9" t="s">
        <v>1404</v>
      </c>
      <c r="F610" s="10" t="s">
        <v>109</v>
      </c>
      <c r="G610" s="10" t="n">
        <v>13620</v>
      </c>
      <c r="H610" s="10" t="n">
        <v>13620</v>
      </c>
      <c r="I610" s="11" t="s">
        <v>688</v>
      </c>
      <c r="J610" s="9" t="s">
        <v>688</v>
      </c>
      <c r="K610" s="9" t="s">
        <v>7</v>
      </c>
      <c r="L610" s="9" t="s">
        <v>3</v>
      </c>
      <c r="M610" s="9" t="n">
        <v>646.95</v>
      </c>
      <c r="N610" s="9" t="n">
        <v>1254.6744</v>
      </c>
      <c r="O610" s="9" t="n">
        <v>15521.6244</v>
      </c>
    </row>
    <row r="611" customFormat="false" ht="17.25" hidden="false" customHeight="false" outlineLevel="0" collapsed="false">
      <c r="B611" s="9" t="n">
        <v>3780</v>
      </c>
      <c r="C611" s="9" t="s">
        <v>1405</v>
      </c>
      <c r="D611" s="9" t="s">
        <v>1007</v>
      </c>
      <c r="E611" s="9" t="s">
        <v>227</v>
      </c>
      <c r="F611" s="10" t="s">
        <v>109</v>
      </c>
      <c r="G611" s="10" t="n">
        <v>20690</v>
      </c>
      <c r="H611" s="10" t="n">
        <v>20690</v>
      </c>
      <c r="I611" s="11" t="s">
        <v>984</v>
      </c>
      <c r="J611" s="9" t="s">
        <v>743</v>
      </c>
      <c r="K611" s="9" t="s">
        <v>6</v>
      </c>
      <c r="L611" s="9" t="s">
        <v>1056</v>
      </c>
      <c r="M611" s="9" t="n">
        <v>884.4975</v>
      </c>
      <c r="N611" s="9" t="n">
        <v>1633.6824</v>
      </c>
      <c r="O611" s="9" t="n">
        <v>23208.1799</v>
      </c>
    </row>
    <row r="612" customFormat="false" ht="17.25" hidden="false" customHeight="false" outlineLevel="0" collapsed="false">
      <c r="B612" s="9" t="n">
        <v>3781</v>
      </c>
      <c r="C612" s="9" t="s">
        <v>1406</v>
      </c>
      <c r="D612" s="9" t="s">
        <v>766</v>
      </c>
      <c r="E612" s="9" t="s">
        <v>1407</v>
      </c>
      <c r="F612" s="10" t="s">
        <v>61</v>
      </c>
      <c r="G612" s="10" t="n">
        <v>59000</v>
      </c>
      <c r="H612" s="10" t="n">
        <v>59000</v>
      </c>
      <c r="I612" s="11" t="s">
        <v>751</v>
      </c>
      <c r="J612" s="9" t="s">
        <v>752</v>
      </c>
      <c r="K612" s="9" t="s">
        <v>6</v>
      </c>
      <c r="L612" s="9" t="s">
        <v>1056</v>
      </c>
      <c r="M612" s="9" t="n">
        <v>0</v>
      </c>
      <c r="N612" s="9" t="n">
        <v>1974</v>
      </c>
      <c r="O612" s="9" t="n">
        <v>60974</v>
      </c>
    </row>
    <row r="613" customFormat="false" ht="17.25" hidden="false" customHeight="false" outlineLevel="0" collapsed="false">
      <c r="B613" s="9" t="n">
        <v>3782</v>
      </c>
      <c r="C613" s="9" t="s">
        <v>1408</v>
      </c>
      <c r="D613" s="9" t="s">
        <v>1409</v>
      </c>
      <c r="E613" s="9" t="s">
        <v>1043</v>
      </c>
      <c r="F613" s="10" t="s">
        <v>299</v>
      </c>
      <c r="G613" s="10" t="n">
        <v>26230</v>
      </c>
      <c r="H613" s="10" t="n">
        <v>26230</v>
      </c>
      <c r="I613" s="11" t="s">
        <v>759</v>
      </c>
      <c r="J613" s="9" t="s">
        <v>760</v>
      </c>
      <c r="K613" s="9" t="s">
        <v>6</v>
      </c>
      <c r="L613" s="9" t="s">
        <v>1056</v>
      </c>
      <c r="M613" s="9" t="n">
        <v>0</v>
      </c>
      <c r="N613" s="9" t="n">
        <v>1974</v>
      </c>
      <c r="O613" s="9" t="n">
        <v>28204</v>
      </c>
    </row>
    <row r="614" customFormat="false" ht="17.25" hidden="false" customHeight="false" outlineLevel="0" collapsed="false">
      <c r="B614" s="9" t="n">
        <v>3783</v>
      </c>
      <c r="C614" s="9" t="s">
        <v>1410</v>
      </c>
      <c r="D614" s="9" t="s">
        <v>745</v>
      </c>
      <c r="E614" s="9" t="s">
        <v>229</v>
      </c>
      <c r="F614" s="10" t="s">
        <v>87</v>
      </c>
      <c r="G614" s="10" t="n">
        <v>21730</v>
      </c>
      <c r="H614" s="10" t="n">
        <v>21730</v>
      </c>
      <c r="I614" s="11" t="s">
        <v>699</v>
      </c>
      <c r="J614" s="9" t="s">
        <v>734</v>
      </c>
      <c r="K614" s="9" t="s">
        <v>6</v>
      </c>
      <c r="L614" s="9" t="s">
        <v>1056</v>
      </c>
      <c r="M614" s="9" t="n">
        <v>928.9575</v>
      </c>
      <c r="N614" s="9" t="n">
        <v>1715.8008</v>
      </c>
      <c r="O614" s="9" t="n">
        <v>24374.7583</v>
      </c>
    </row>
    <row r="615" customFormat="false" ht="17.25" hidden="false" customHeight="false" outlineLevel="0" collapsed="false">
      <c r="B615" s="9" t="n">
        <v>3784</v>
      </c>
      <c r="C615" s="9" t="s">
        <v>1411</v>
      </c>
      <c r="D615" s="9" t="s">
        <v>797</v>
      </c>
      <c r="E615" s="9" t="s">
        <v>1412</v>
      </c>
      <c r="F615" s="10" t="s">
        <v>87</v>
      </c>
      <c r="G615" s="10" t="n">
        <v>28910</v>
      </c>
      <c r="H615" s="10" t="n">
        <v>28910</v>
      </c>
      <c r="I615" s="11" t="s">
        <v>799</v>
      </c>
      <c r="J615" s="9" t="s">
        <v>739</v>
      </c>
      <c r="K615" s="9" t="s">
        <v>6</v>
      </c>
      <c r="L615" s="9" t="s">
        <v>1056</v>
      </c>
      <c r="M615" s="9" t="n">
        <v>0</v>
      </c>
      <c r="N615" s="9" t="n">
        <v>1974</v>
      </c>
      <c r="O615" s="9" t="n">
        <v>30884</v>
      </c>
    </row>
    <row r="616" customFormat="false" ht="17.25" hidden="false" customHeight="false" outlineLevel="0" collapsed="false">
      <c r="B616" s="9" t="n">
        <v>3785</v>
      </c>
      <c r="C616" s="9" t="s">
        <v>1413</v>
      </c>
      <c r="D616" s="9" t="s">
        <v>1112</v>
      </c>
      <c r="E616" s="9" t="s">
        <v>1414</v>
      </c>
      <c r="F616" s="10" t="s">
        <v>331</v>
      </c>
      <c r="G616" s="10" t="n">
        <v>15980</v>
      </c>
      <c r="H616" s="10" t="n">
        <v>15980</v>
      </c>
      <c r="I616" s="11" t="s">
        <v>773</v>
      </c>
      <c r="J616" s="9" t="s">
        <v>773</v>
      </c>
      <c r="K616" s="9" t="s">
        <v>6</v>
      </c>
      <c r="L616" s="9" t="s">
        <v>1056</v>
      </c>
      <c r="M616" s="9" t="n">
        <v>683.145</v>
      </c>
      <c r="N616" s="9" t="n">
        <v>1261.7808</v>
      </c>
      <c r="O616" s="9" t="n">
        <v>17924.9258</v>
      </c>
    </row>
    <row r="617" customFormat="false" ht="17.25" hidden="false" customHeight="false" outlineLevel="0" collapsed="false">
      <c r="B617" s="9" t="n">
        <v>3787</v>
      </c>
      <c r="C617" s="9" t="s">
        <v>1415</v>
      </c>
      <c r="D617" s="9" t="s">
        <v>797</v>
      </c>
      <c r="E617" s="9" t="s">
        <v>1416</v>
      </c>
      <c r="F617" s="10" t="s">
        <v>299</v>
      </c>
      <c r="G617" s="10" t="n">
        <v>16580</v>
      </c>
      <c r="H617" s="10" t="n">
        <v>16580</v>
      </c>
      <c r="I617" s="11" t="s">
        <v>759</v>
      </c>
      <c r="J617" s="9" t="s">
        <v>760</v>
      </c>
      <c r="K617" s="9" t="s">
        <v>6</v>
      </c>
      <c r="L617" s="9" t="s">
        <v>1056</v>
      </c>
      <c r="M617" s="9" t="n">
        <v>708.795</v>
      </c>
      <c r="N617" s="9" t="n">
        <v>1309.1568</v>
      </c>
      <c r="O617" s="9" t="n">
        <v>18597.9518</v>
      </c>
    </row>
    <row r="618" customFormat="false" ht="17.25" hidden="false" customHeight="false" outlineLevel="0" collapsed="false">
      <c r="B618" s="9" t="n">
        <v>3788</v>
      </c>
      <c r="C618" s="9" t="s">
        <v>1417</v>
      </c>
      <c r="D618" s="9" t="s">
        <v>787</v>
      </c>
      <c r="E618" s="9" t="s">
        <v>1418</v>
      </c>
      <c r="F618" s="10" t="s">
        <v>299</v>
      </c>
      <c r="G618" s="10" t="n">
        <v>20370</v>
      </c>
      <c r="H618" s="10" t="n">
        <v>20370</v>
      </c>
      <c r="I618" s="11" t="s">
        <v>751</v>
      </c>
      <c r="J618" s="9" t="s">
        <v>752</v>
      </c>
      <c r="K618" s="9" t="s">
        <v>6</v>
      </c>
      <c r="L618" s="9" t="s">
        <v>1056</v>
      </c>
      <c r="M618" s="9" t="n">
        <v>870.8175</v>
      </c>
      <c r="N618" s="9" t="n">
        <v>1608.4152</v>
      </c>
      <c r="O618" s="9" t="n">
        <v>22849.2327</v>
      </c>
    </row>
    <row r="619" customFormat="false" ht="17.25" hidden="false" customHeight="false" outlineLevel="0" collapsed="false">
      <c r="B619" s="9" t="n">
        <v>3789</v>
      </c>
      <c r="C619" s="9" t="s">
        <v>1419</v>
      </c>
      <c r="D619" s="9" t="s">
        <v>1007</v>
      </c>
      <c r="E619" s="9" t="s">
        <v>1420</v>
      </c>
      <c r="F619" s="10" t="s">
        <v>109</v>
      </c>
      <c r="G619" s="10" t="n">
        <v>14390</v>
      </c>
      <c r="H619" s="10" t="n">
        <v>14390</v>
      </c>
      <c r="I619" s="11" t="s">
        <v>984</v>
      </c>
      <c r="J619" s="9" t="s">
        <v>743</v>
      </c>
      <c r="K619" s="9" t="s">
        <v>6</v>
      </c>
      <c r="L619" s="9" t="s">
        <v>12</v>
      </c>
      <c r="M619" s="9" t="n">
        <v>615.1725</v>
      </c>
      <c r="N619" s="9" t="n">
        <v>1136.2344</v>
      </c>
      <c r="O619" s="9" t="n">
        <v>16141.4069</v>
      </c>
    </row>
    <row r="620" customFormat="false" ht="17.25" hidden="false" customHeight="false" outlineLevel="0" collapsed="false">
      <c r="B620" s="9" t="n">
        <v>3791</v>
      </c>
      <c r="C620" s="9" t="s">
        <v>1421</v>
      </c>
      <c r="D620" s="9" t="s">
        <v>745</v>
      </c>
      <c r="E620" s="9" t="s">
        <v>1422</v>
      </c>
      <c r="F620" s="10" t="s">
        <v>58</v>
      </c>
      <c r="G620" s="10" t="n">
        <v>39550</v>
      </c>
      <c r="H620" s="10" t="n">
        <v>39550</v>
      </c>
      <c r="I620" s="11" t="s">
        <v>699</v>
      </c>
      <c r="J620" s="9" t="s">
        <v>734</v>
      </c>
      <c r="K620" s="9" t="s">
        <v>6</v>
      </c>
      <c r="L620" s="9" t="s">
        <v>12</v>
      </c>
      <c r="M620" s="9" t="n">
        <v>0</v>
      </c>
      <c r="N620" s="9" t="n">
        <v>1974</v>
      </c>
      <c r="O620" s="9" t="n">
        <v>41524</v>
      </c>
    </row>
    <row r="621" customFormat="false" ht="17.25" hidden="false" customHeight="false" outlineLevel="0" collapsed="false">
      <c r="B621" s="9" t="n">
        <v>3792</v>
      </c>
      <c r="C621" s="9" t="s">
        <v>1423</v>
      </c>
      <c r="D621" s="9" t="s">
        <v>1424</v>
      </c>
      <c r="E621" s="9" t="s">
        <v>1425</v>
      </c>
      <c r="F621" s="10" t="s">
        <v>171</v>
      </c>
      <c r="G621" s="10" t="n">
        <v>120000</v>
      </c>
      <c r="H621" s="10" t="n">
        <v>120000</v>
      </c>
      <c r="I621" s="11" t="s">
        <v>1426</v>
      </c>
      <c r="J621" s="9" t="s">
        <v>1065</v>
      </c>
      <c r="K621" s="9" t="s">
        <v>6</v>
      </c>
      <c r="L621" s="9" t="s">
        <v>12</v>
      </c>
      <c r="M621" s="9" t="n">
        <v>0</v>
      </c>
      <c r="N621" s="9" t="n">
        <v>1974</v>
      </c>
      <c r="O621" s="9" t="n">
        <v>121974</v>
      </c>
    </row>
    <row r="622" customFormat="false" ht="17.25" hidden="false" customHeight="false" outlineLevel="0" collapsed="false">
      <c r="B622" s="9" t="n">
        <v>3794</v>
      </c>
      <c r="C622" s="9" t="s">
        <v>1427</v>
      </c>
      <c r="D622" s="9" t="s">
        <v>898</v>
      </c>
      <c r="E622" s="9" t="s">
        <v>1428</v>
      </c>
      <c r="F622" s="10" t="s">
        <v>58</v>
      </c>
      <c r="G622" s="10" t="n">
        <v>37000</v>
      </c>
      <c r="H622" s="10" t="n">
        <v>37000</v>
      </c>
      <c r="I622" s="11" t="s">
        <v>1429</v>
      </c>
      <c r="J622" s="9" t="s">
        <v>1065</v>
      </c>
      <c r="K622" s="9" t="s">
        <v>6</v>
      </c>
      <c r="L622" s="9" t="s">
        <v>12</v>
      </c>
      <c r="M622" s="9" t="n">
        <v>0</v>
      </c>
      <c r="N622" s="9" t="n">
        <v>1974</v>
      </c>
      <c r="O622" s="9" t="n">
        <v>38974</v>
      </c>
    </row>
    <row r="623" customFormat="false" ht="17.25" hidden="false" customHeight="false" outlineLevel="0" collapsed="false">
      <c r="B623" s="9" t="n">
        <v>3795</v>
      </c>
      <c r="C623" s="9" t="s">
        <v>1430</v>
      </c>
      <c r="D623" s="9" t="s">
        <v>1431</v>
      </c>
      <c r="E623" s="9" t="s">
        <v>646</v>
      </c>
      <c r="F623" s="10" t="s">
        <v>64</v>
      </c>
      <c r="G623" s="10" t="n">
        <v>49030</v>
      </c>
      <c r="H623" s="10" t="n">
        <v>49030</v>
      </c>
      <c r="I623" s="11" t="s">
        <v>759</v>
      </c>
      <c r="J623" s="9" t="s">
        <v>760</v>
      </c>
      <c r="K623" s="9" t="s">
        <v>6</v>
      </c>
      <c r="L623" s="9" t="s">
        <v>16</v>
      </c>
      <c r="M623" s="9" t="n">
        <v>0</v>
      </c>
      <c r="N623" s="9" t="n">
        <v>1974</v>
      </c>
      <c r="O623" s="9" t="n">
        <v>51004</v>
      </c>
    </row>
    <row r="624" customFormat="false" ht="17.25" hidden="false" customHeight="false" outlineLevel="0" collapsed="false">
      <c r="B624" s="9" t="n">
        <v>3796</v>
      </c>
      <c r="C624" s="9" t="s">
        <v>1432</v>
      </c>
      <c r="D624" s="9" t="s">
        <v>1433</v>
      </c>
      <c r="E624" s="9" t="s">
        <v>1197</v>
      </c>
      <c r="F624" s="10" t="s">
        <v>561</v>
      </c>
      <c r="G624" s="10" t="n">
        <v>210000</v>
      </c>
      <c r="H624" s="10" t="n">
        <v>210000</v>
      </c>
      <c r="I624" s="11" t="s">
        <v>16</v>
      </c>
      <c r="J624" s="9" t="s">
        <v>1065</v>
      </c>
      <c r="K624" s="9" t="s">
        <v>6</v>
      </c>
      <c r="L624" s="9" t="s">
        <v>16</v>
      </c>
      <c r="M624" s="9" t="n">
        <v>0</v>
      </c>
      <c r="N624" s="9" t="n">
        <v>1974</v>
      </c>
      <c r="O624" s="9" t="n">
        <v>211974</v>
      </c>
    </row>
    <row r="625" customFormat="false" ht="17.25" hidden="false" customHeight="false" outlineLevel="0" collapsed="false">
      <c r="B625" s="9" t="n">
        <v>3798</v>
      </c>
      <c r="C625" s="9" t="s">
        <v>1434</v>
      </c>
      <c r="D625" s="9" t="s">
        <v>766</v>
      </c>
      <c r="E625" s="9" t="s">
        <v>1435</v>
      </c>
      <c r="F625" s="10" t="s">
        <v>61</v>
      </c>
      <c r="G625" s="10" t="n">
        <v>138000</v>
      </c>
      <c r="H625" s="10" t="n">
        <v>138000</v>
      </c>
      <c r="I625" s="11" t="s">
        <v>16</v>
      </c>
      <c r="J625" s="9" t="s">
        <v>1065</v>
      </c>
      <c r="K625" s="9" t="s">
        <v>6</v>
      </c>
      <c r="L625" s="9" t="s">
        <v>16</v>
      </c>
      <c r="M625" s="9" t="n">
        <v>0</v>
      </c>
      <c r="N625" s="9" t="n">
        <v>1974</v>
      </c>
      <c r="O625" s="9" t="n">
        <v>139974</v>
      </c>
    </row>
    <row r="626" customFormat="false" ht="17.25" hidden="false" customHeight="false" outlineLevel="0" collapsed="false">
      <c r="B626" s="9" t="n">
        <v>3799</v>
      </c>
      <c r="C626" s="9" t="s">
        <v>1436</v>
      </c>
      <c r="D626" s="9" t="s">
        <v>1216</v>
      </c>
      <c r="E626" s="9" t="s">
        <v>1437</v>
      </c>
      <c r="F626" s="10" t="s">
        <v>64</v>
      </c>
      <c r="G626" s="10" t="n">
        <v>40890</v>
      </c>
      <c r="H626" s="10" t="n">
        <v>40890</v>
      </c>
      <c r="I626" s="11" t="s">
        <v>699</v>
      </c>
      <c r="J626" s="9" t="s">
        <v>1065</v>
      </c>
      <c r="K626" s="9" t="s">
        <v>6</v>
      </c>
      <c r="L626" s="9" t="s">
        <v>16</v>
      </c>
      <c r="M626" s="9" t="n">
        <v>0</v>
      </c>
      <c r="N626" s="9" t="n">
        <v>1974</v>
      </c>
      <c r="O626" s="9" t="n">
        <v>42864</v>
      </c>
    </row>
    <row r="627" customFormat="false" ht="17.25" hidden="false" customHeight="false" outlineLevel="0" collapsed="false">
      <c r="B627" s="9" t="n">
        <v>3805</v>
      </c>
      <c r="C627" s="9" t="s">
        <v>1438</v>
      </c>
      <c r="D627" s="9" t="s">
        <v>619</v>
      </c>
      <c r="E627" s="9" t="s">
        <v>1223</v>
      </c>
      <c r="F627" s="10" t="s">
        <v>299</v>
      </c>
      <c r="G627" s="10" t="n">
        <v>21080</v>
      </c>
      <c r="H627" s="10" t="n">
        <v>21080</v>
      </c>
      <c r="I627" s="11" t="s">
        <v>688</v>
      </c>
      <c r="J627" s="9" t="s">
        <v>688</v>
      </c>
      <c r="K627" s="9" t="s">
        <v>6</v>
      </c>
      <c r="L627" s="9" t="s">
        <v>13</v>
      </c>
      <c r="M627" s="9" t="n">
        <v>901.17</v>
      </c>
      <c r="N627" s="9" t="n">
        <v>1664.4768</v>
      </c>
      <c r="O627" s="9" t="n">
        <v>23645.6468</v>
      </c>
    </row>
    <row r="628" customFormat="false" ht="17.25" hidden="false" customHeight="false" outlineLevel="0" collapsed="false">
      <c r="B628" s="9" t="n">
        <v>3807</v>
      </c>
      <c r="C628" s="9" t="s">
        <v>1439</v>
      </c>
      <c r="D628" s="9" t="s">
        <v>766</v>
      </c>
      <c r="E628" s="9" t="n">
        <v>42011</v>
      </c>
      <c r="F628" s="10" t="s">
        <v>64</v>
      </c>
      <c r="G628" s="10" t="n">
        <v>58910</v>
      </c>
      <c r="H628" s="10" t="n">
        <v>58910</v>
      </c>
      <c r="I628" s="11" t="s">
        <v>1440</v>
      </c>
      <c r="J628" s="9" t="s">
        <v>1065</v>
      </c>
      <c r="K628" s="9" t="s">
        <v>6</v>
      </c>
      <c r="L628" s="9" t="s">
        <v>16</v>
      </c>
      <c r="M628" s="9" t="n">
        <v>0</v>
      </c>
      <c r="N628" s="9" t="n">
        <v>1974</v>
      </c>
      <c r="O628" s="9" t="n">
        <v>60884</v>
      </c>
    </row>
    <row r="629" customFormat="false" ht="17.25" hidden="false" customHeight="false" outlineLevel="0" collapsed="false">
      <c r="B629" s="9" t="n">
        <v>3808</v>
      </c>
      <c r="C629" s="9" t="s">
        <v>1441</v>
      </c>
      <c r="D629" s="9" t="s">
        <v>1442</v>
      </c>
      <c r="E629" s="9" t="n">
        <v>42012</v>
      </c>
      <c r="F629" s="10" t="s">
        <v>146</v>
      </c>
      <c r="G629" s="10" t="n">
        <v>92260</v>
      </c>
      <c r="H629" s="10" t="n">
        <v>92260</v>
      </c>
      <c r="I629" s="11" t="s">
        <v>16</v>
      </c>
      <c r="J629" s="9" t="s">
        <v>1065</v>
      </c>
      <c r="K629" s="9" t="s">
        <v>6</v>
      </c>
      <c r="L629" s="9" t="s">
        <v>16</v>
      </c>
      <c r="M629" s="9" t="n">
        <v>0</v>
      </c>
      <c r="N629" s="9" t="n">
        <v>1974</v>
      </c>
      <c r="O629" s="9" t="n">
        <v>94234</v>
      </c>
    </row>
    <row r="630" customFormat="false" ht="17.25" hidden="false" customHeight="false" outlineLevel="0" collapsed="false">
      <c r="B630" s="9" t="n">
        <v>3809</v>
      </c>
      <c r="C630" s="9" t="s">
        <v>1443</v>
      </c>
      <c r="D630" s="9" t="s">
        <v>574</v>
      </c>
      <c r="E630" s="9" t="s">
        <v>323</v>
      </c>
      <c r="F630" s="10" t="s">
        <v>64</v>
      </c>
      <c r="G630" s="10" t="n">
        <v>41480</v>
      </c>
      <c r="H630" s="10" t="n">
        <v>41480</v>
      </c>
      <c r="I630" s="11" t="s">
        <v>16</v>
      </c>
      <c r="J630" s="9" t="s">
        <v>760</v>
      </c>
      <c r="K630" s="9" t="s">
        <v>6</v>
      </c>
      <c r="L630" s="9" t="s">
        <v>735</v>
      </c>
      <c r="M630" s="9" t="n">
        <v>0</v>
      </c>
      <c r="N630" s="9" t="n">
        <v>1974</v>
      </c>
      <c r="O630" s="9" t="n">
        <v>43454</v>
      </c>
    </row>
    <row r="631" customFormat="false" ht="17.25" hidden="false" customHeight="false" outlineLevel="0" collapsed="false">
      <c r="B631" s="9" t="n">
        <v>4559</v>
      </c>
      <c r="C631" s="9" t="s">
        <v>1444</v>
      </c>
      <c r="D631" s="9" t="s">
        <v>1445</v>
      </c>
      <c r="E631" s="9" t="s">
        <v>1446</v>
      </c>
      <c r="F631" s="10" t="s">
        <v>61</v>
      </c>
      <c r="G631" s="10" t="n">
        <v>67000</v>
      </c>
      <c r="H631" s="10" t="n">
        <v>67000</v>
      </c>
      <c r="I631" s="11" t="s">
        <v>1447</v>
      </c>
      <c r="J631" s="9" t="s">
        <v>1065</v>
      </c>
      <c r="K631" s="9" t="s">
        <v>6</v>
      </c>
      <c r="L631" s="9" t="s">
        <v>12</v>
      </c>
      <c r="M631" s="9" t="n">
        <v>0</v>
      </c>
      <c r="N631" s="9" t="n">
        <v>1974</v>
      </c>
      <c r="O631" s="9" t="n">
        <v>68974</v>
      </c>
    </row>
    <row r="632" customFormat="false" ht="17.25" hidden="false" customHeight="false" outlineLevel="0" collapsed="false">
      <c r="B632" s="9" t="n">
        <v>4957</v>
      </c>
      <c r="C632" s="9" t="s">
        <v>1448</v>
      </c>
      <c r="D632" s="9" t="s">
        <v>965</v>
      </c>
      <c r="E632" s="9" t="s">
        <v>1449</v>
      </c>
      <c r="F632" s="10" t="s">
        <v>87</v>
      </c>
      <c r="G632" s="10" t="n">
        <v>30000</v>
      </c>
      <c r="H632" s="10" t="n">
        <v>27000</v>
      </c>
      <c r="I632" s="11" t="s">
        <v>1447</v>
      </c>
      <c r="J632" s="9" t="s">
        <v>1450</v>
      </c>
      <c r="K632" s="9" t="s">
        <v>1451</v>
      </c>
      <c r="L632" s="9" t="s">
        <v>13</v>
      </c>
      <c r="M632" s="9" t="n">
        <v>0</v>
      </c>
      <c r="N632" s="9" t="n">
        <v>1974</v>
      </c>
      <c r="O632" s="9" t="n">
        <v>28974</v>
      </c>
    </row>
    <row r="633" customFormat="false" ht="17.25" hidden="false" customHeight="false" outlineLevel="0" collapsed="false">
      <c r="B633" s="9" t="n">
        <v>3816</v>
      </c>
      <c r="C633" s="9" t="s">
        <v>1452</v>
      </c>
      <c r="D633" s="9" t="s">
        <v>1453</v>
      </c>
      <c r="E633" s="9" t="s">
        <v>1454</v>
      </c>
      <c r="F633" s="10" t="s">
        <v>87</v>
      </c>
      <c r="G633" s="10" t="n">
        <v>24000</v>
      </c>
      <c r="H633" s="10" t="n">
        <v>24000</v>
      </c>
      <c r="I633" s="11" t="s">
        <v>742</v>
      </c>
      <c r="J633" s="9" t="s">
        <v>743</v>
      </c>
      <c r="K633" s="9" t="s">
        <v>10</v>
      </c>
      <c r="L633" s="9" t="s">
        <v>13</v>
      </c>
      <c r="M633" s="9" t="n">
        <v>0</v>
      </c>
      <c r="N633" s="9" t="n">
        <v>1895.04</v>
      </c>
      <c r="O633" s="9" t="n">
        <v>25895.04</v>
      </c>
    </row>
    <row r="634" customFormat="false" ht="17.25" hidden="false" customHeight="false" outlineLevel="0" collapsed="false">
      <c r="B634" s="9" t="n">
        <v>3858</v>
      </c>
      <c r="C634" s="9" t="s">
        <v>1455</v>
      </c>
      <c r="D634" s="9" t="s">
        <v>766</v>
      </c>
      <c r="E634" s="9" t="s">
        <v>237</v>
      </c>
      <c r="F634" s="10" t="s">
        <v>61</v>
      </c>
      <c r="G634" s="10" t="n">
        <v>56550</v>
      </c>
      <c r="H634" s="10" t="n">
        <v>56550</v>
      </c>
      <c r="I634" s="11" t="s">
        <v>1456</v>
      </c>
      <c r="J634" s="9" t="s">
        <v>760</v>
      </c>
      <c r="K634" s="9" t="s">
        <v>9</v>
      </c>
      <c r="L634" s="9" t="s">
        <v>13</v>
      </c>
      <c r="M634" s="9" t="n">
        <v>0</v>
      </c>
      <c r="N634" s="9" t="n">
        <v>1974</v>
      </c>
      <c r="O634" s="9" t="n">
        <v>58524</v>
      </c>
    </row>
    <row r="635" customFormat="false" ht="17.25" hidden="false" customHeight="false" outlineLevel="0" collapsed="false">
      <c r="B635" s="9" t="n">
        <v>3862</v>
      </c>
      <c r="C635" s="9" t="s">
        <v>1457</v>
      </c>
      <c r="D635" s="9" t="s">
        <v>797</v>
      </c>
      <c r="E635" s="9" t="s">
        <v>1458</v>
      </c>
      <c r="F635" s="10" t="s">
        <v>299</v>
      </c>
      <c r="G635" s="10" t="n">
        <v>20590</v>
      </c>
      <c r="H635" s="10" t="n">
        <v>20590</v>
      </c>
      <c r="I635" s="11" t="s">
        <v>1456</v>
      </c>
      <c r="J635" s="9" t="s">
        <v>760</v>
      </c>
      <c r="K635" s="9" t="s">
        <v>9</v>
      </c>
      <c r="L635" s="9" t="s">
        <v>13</v>
      </c>
      <c r="M635" s="9" t="n">
        <v>978.025</v>
      </c>
      <c r="N635" s="9" t="n">
        <v>1896.7508</v>
      </c>
      <c r="O635" s="9" t="n">
        <v>23464.7758</v>
      </c>
    </row>
    <row r="636" customFormat="false" ht="17.25" hidden="false" customHeight="false" outlineLevel="0" collapsed="false">
      <c r="B636" s="9" t="n">
        <v>3867</v>
      </c>
      <c r="C636" s="9" t="s">
        <v>1459</v>
      </c>
      <c r="D636" s="9" t="s">
        <v>732</v>
      </c>
      <c r="E636" s="9" t="s">
        <v>1460</v>
      </c>
      <c r="F636" s="10" t="s">
        <v>64</v>
      </c>
      <c r="G636" s="10" t="n">
        <v>38980</v>
      </c>
      <c r="H636" s="10" t="n">
        <v>38980</v>
      </c>
      <c r="I636" s="11" t="s">
        <v>699</v>
      </c>
      <c r="J636" s="9" t="s">
        <v>734</v>
      </c>
      <c r="K636" s="9" t="s">
        <v>8</v>
      </c>
      <c r="L636" s="9" t="s">
        <v>8</v>
      </c>
      <c r="M636" s="9" t="n">
        <v>0</v>
      </c>
      <c r="N636" s="9" t="n">
        <v>1974</v>
      </c>
      <c r="O636" s="9" t="n">
        <v>40954</v>
      </c>
    </row>
    <row r="637" customFormat="false" ht="17.25" hidden="false" customHeight="false" outlineLevel="0" collapsed="false">
      <c r="B637" s="9" t="n">
        <v>5007</v>
      </c>
      <c r="C637" s="9" t="s">
        <v>1461</v>
      </c>
      <c r="D637" s="9" t="s">
        <v>1007</v>
      </c>
      <c r="E637" s="9" t="s">
        <v>181</v>
      </c>
      <c r="F637" s="10" t="s">
        <v>338</v>
      </c>
      <c r="G637" s="10" t="n">
        <v>10000</v>
      </c>
      <c r="H637" s="10" t="n">
        <v>2666.67</v>
      </c>
      <c r="I637" s="11" t="s">
        <v>889</v>
      </c>
      <c r="J637" s="9" t="s">
        <v>734</v>
      </c>
      <c r="K637" s="9" t="s">
        <v>8</v>
      </c>
      <c r="L637" s="9" t="s">
        <v>8</v>
      </c>
      <c r="M637" s="9" t="n">
        <v>114.0001425</v>
      </c>
      <c r="N637" s="9" t="n">
        <v>210.5602632</v>
      </c>
      <c r="O637" s="9" t="n">
        <v>2991.2304057</v>
      </c>
    </row>
    <row r="638" customFormat="false" ht="17.25" hidden="false" customHeight="false" outlineLevel="0" collapsed="false">
      <c r="B638" s="9" t="n">
        <v>3868</v>
      </c>
      <c r="C638" s="9" t="s">
        <v>1462</v>
      </c>
      <c r="D638" s="9" t="s">
        <v>1463</v>
      </c>
      <c r="E638" s="9" t="s">
        <v>1464</v>
      </c>
      <c r="F638" s="10" t="s">
        <v>109</v>
      </c>
      <c r="G638" s="10" t="n">
        <v>12000</v>
      </c>
      <c r="H638" s="10" t="n">
        <v>12000</v>
      </c>
      <c r="I638" s="11" t="s">
        <v>984</v>
      </c>
      <c r="J638" s="9" t="s">
        <v>743</v>
      </c>
      <c r="K638" s="9" t="s">
        <v>7</v>
      </c>
      <c r="L638" s="9" t="s">
        <v>7</v>
      </c>
      <c r="M638" s="9" t="n">
        <v>570</v>
      </c>
      <c r="N638" s="9" t="n">
        <v>1105.44</v>
      </c>
      <c r="O638" s="9" t="n">
        <v>13675.44</v>
      </c>
    </row>
    <row r="639" customFormat="false" ht="17.25" hidden="false" customHeight="false" outlineLevel="0" collapsed="false">
      <c r="B639" s="9" t="n">
        <v>3872</v>
      </c>
      <c r="C639" s="9" t="s">
        <v>1465</v>
      </c>
      <c r="D639" s="9" t="s">
        <v>787</v>
      </c>
      <c r="E639" s="9" t="s">
        <v>1466</v>
      </c>
      <c r="F639" s="10" t="s">
        <v>109</v>
      </c>
      <c r="G639" s="10" t="n">
        <v>11530</v>
      </c>
      <c r="H639" s="10" t="n">
        <v>11530</v>
      </c>
      <c r="I639" s="11" t="s">
        <v>759</v>
      </c>
      <c r="J639" s="9" t="s">
        <v>760</v>
      </c>
      <c r="K639" s="9" t="s">
        <v>4</v>
      </c>
      <c r="L639" s="9" t="s">
        <v>4</v>
      </c>
      <c r="M639" s="9" t="n">
        <v>492.9075</v>
      </c>
      <c r="N639" s="9" t="n">
        <v>910.4088</v>
      </c>
      <c r="O639" s="9" t="n">
        <v>12933.3163</v>
      </c>
    </row>
    <row r="640" customFormat="false" ht="17.25" hidden="false" customHeight="false" outlineLevel="0" collapsed="false">
      <c r="B640" s="9" t="n">
        <v>3873</v>
      </c>
      <c r="C640" s="9" t="s">
        <v>1467</v>
      </c>
      <c r="D640" s="9" t="s">
        <v>584</v>
      </c>
      <c r="E640" s="9" t="s">
        <v>1468</v>
      </c>
      <c r="F640" s="10" t="s">
        <v>109</v>
      </c>
      <c r="G640" s="10" t="n">
        <v>12870</v>
      </c>
      <c r="H640" s="10" t="n">
        <v>12870</v>
      </c>
      <c r="I640" s="11" t="s">
        <v>799</v>
      </c>
      <c r="J640" s="9" t="s">
        <v>739</v>
      </c>
      <c r="K640" s="9" t="s">
        <v>7</v>
      </c>
      <c r="L640" s="9" t="s">
        <v>7</v>
      </c>
      <c r="M640" s="9" t="n">
        <v>611.325</v>
      </c>
      <c r="N640" s="9" t="n">
        <v>1185.5844</v>
      </c>
      <c r="O640" s="9" t="n">
        <v>14666.9094</v>
      </c>
    </row>
    <row r="641" customFormat="false" ht="17.25" hidden="false" customHeight="false" outlineLevel="0" collapsed="false">
      <c r="B641" s="9" t="n">
        <v>3879</v>
      </c>
      <c r="C641" s="9" t="s">
        <v>1469</v>
      </c>
      <c r="D641" s="9" t="s">
        <v>1007</v>
      </c>
      <c r="E641" s="9" t="s">
        <v>1470</v>
      </c>
      <c r="F641" s="10" t="s">
        <v>109</v>
      </c>
      <c r="G641" s="10" t="n">
        <v>11700</v>
      </c>
      <c r="H641" s="10" t="n">
        <v>11700</v>
      </c>
      <c r="I641" s="11" t="s">
        <v>759</v>
      </c>
      <c r="J641" s="9" t="s">
        <v>760</v>
      </c>
      <c r="K641" s="9" t="s">
        <v>3</v>
      </c>
      <c r="L641" s="9" t="s">
        <v>17</v>
      </c>
      <c r="M641" s="9" t="n">
        <v>500.175</v>
      </c>
      <c r="N641" s="9" t="n">
        <v>923.832</v>
      </c>
      <c r="O641" s="9" t="n">
        <v>13124.007</v>
      </c>
    </row>
    <row r="642" customFormat="false" ht="17.25" hidden="false" customHeight="false" outlineLevel="0" collapsed="false">
      <c r="B642" s="9" t="n">
        <v>3880</v>
      </c>
      <c r="C642" s="9" t="s">
        <v>1471</v>
      </c>
      <c r="D642" s="9" t="s">
        <v>787</v>
      </c>
      <c r="E642" s="9" t="s">
        <v>1466</v>
      </c>
      <c r="F642" s="10" t="s">
        <v>109</v>
      </c>
      <c r="G642" s="10" t="n">
        <v>14010</v>
      </c>
      <c r="H642" s="10" t="n">
        <v>14010</v>
      </c>
      <c r="I642" s="11" t="s">
        <v>759</v>
      </c>
      <c r="J642" s="9" t="s">
        <v>760</v>
      </c>
      <c r="K642" s="9" t="s">
        <v>3</v>
      </c>
      <c r="L642" s="9" t="s">
        <v>3</v>
      </c>
      <c r="M642" s="9" t="n">
        <v>598.9275</v>
      </c>
      <c r="N642" s="9" t="n">
        <v>1106.2296</v>
      </c>
      <c r="O642" s="9" t="n">
        <v>15715.1571</v>
      </c>
    </row>
    <row r="643" customFormat="false" ht="17.25" hidden="false" customHeight="false" outlineLevel="0" collapsed="false">
      <c r="B643" s="9" t="n">
        <v>3885</v>
      </c>
      <c r="C643" s="9" t="s">
        <v>1472</v>
      </c>
      <c r="D643" s="9" t="s">
        <v>851</v>
      </c>
      <c r="E643" s="9" t="s">
        <v>1473</v>
      </c>
      <c r="F643" s="10" t="s">
        <v>67</v>
      </c>
      <c r="G643" s="10" t="n">
        <v>11400</v>
      </c>
      <c r="H643" s="10" t="n">
        <v>11400</v>
      </c>
      <c r="I643" s="11" t="s">
        <v>751</v>
      </c>
      <c r="J643" s="9" t="s">
        <v>752</v>
      </c>
      <c r="K643" s="9" t="s">
        <v>7</v>
      </c>
      <c r="L643" s="9" t="s">
        <v>7</v>
      </c>
      <c r="M643" s="9" t="n">
        <v>541.5</v>
      </c>
      <c r="N643" s="9" t="n">
        <v>1050.168</v>
      </c>
      <c r="O643" s="9" t="n">
        <v>12991.668</v>
      </c>
    </row>
    <row r="644" customFormat="false" ht="17.25" hidden="false" customHeight="false" outlineLevel="0" collapsed="false">
      <c r="B644" s="9" t="n">
        <v>3893</v>
      </c>
      <c r="C644" s="9" t="s">
        <v>1474</v>
      </c>
      <c r="D644" s="9" t="s">
        <v>851</v>
      </c>
      <c r="E644" s="9" t="s">
        <v>1475</v>
      </c>
      <c r="F644" s="10" t="s">
        <v>79</v>
      </c>
      <c r="G644" s="10" t="n">
        <v>15890</v>
      </c>
      <c r="H644" s="10" t="n">
        <v>15890</v>
      </c>
      <c r="I644" s="11" t="s">
        <v>751</v>
      </c>
      <c r="J644" s="9" t="s">
        <v>752</v>
      </c>
      <c r="K644" s="9" t="s">
        <v>7</v>
      </c>
      <c r="L644" s="9" t="s">
        <v>7</v>
      </c>
      <c r="M644" s="9" t="n">
        <v>754.775</v>
      </c>
      <c r="N644" s="9" t="n">
        <v>1463.7868</v>
      </c>
      <c r="O644" s="9" t="n">
        <v>18108.5618</v>
      </c>
    </row>
    <row r="645" customFormat="false" ht="17.25" hidden="false" customHeight="false" outlineLevel="0" collapsed="false">
      <c r="B645" s="9" t="n">
        <v>3907</v>
      </c>
      <c r="C645" s="9" t="s">
        <v>1476</v>
      </c>
      <c r="D645" s="9" t="s">
        <v>787</v>
      </c>
      <c r="E645" s="9" t="s">
        <v>1477</v>
      </c>
      <c r="F645" s="10" t="s">
        <v>299</v>
      </c>
      <c r="G645" s="10" t="n">
        <v>22200</v>
      </c>
      <c r="H645" s="10" t="n">
        <v>14060</v>
      </c>
      <c r="I645" s="11" t="s">
        <v>1478</v>
      </c>
      <c r="J645" s="9" t="s">
        <v>999</v>
      </c>
      <c r="K645" s="9" t="s">
        <v>5</v>
      </c>
      <c r="L645" s="9" t="s">
        <v>13</v>
      </c>
      <c r="M645" s="9" t="n">
        <v>667.85</v>
      </c>
      <c r="N645" s="9" t="n">
        <v>1295.2072</v>
      </c>
      <c r="O645" s="9" t="n">
        <v>16023.0572</v>
      </c>
    </row>
    <row r="646" customFormat="false" ht="17.25" hidden="false" customHeight="false" outlineLevel="0" collapsed="false">
      <c r="B646" s="9" t="n">
        <v>3912</v>
      </c>
      <c r="C646" s="9" t="s">
        <v>1479</v>
      </c>
      <c r="D646" s="9" t="s">
        <v>1007</v>
      </c>
      <c r="E646" s="9" t="s">
        <v>1480</v>
      </c>
      <c r="F646" s="10" t="s">
        <v>109</v>
      </c>
      <c r="G646" s="10" t="n">
        <v>13260</v>
      </c>
      <c r="H646" s="10" t="n">
        <v>13260</v>
      </c>
      <c r="I646" s="11" t="s">
        <v>699</v>
      </c>
      <c r="J646" s="9" t="s">
        <v>734</v>
      </c>
      <c r="K646" s="9" t="s">
        <v>7</v>
      </c>
      <c r="L646" s="9" t="s">
        <v>13</v>
      </c>
      <c r="M646" s="9" t="n">
        <v>629.85</v>
      </c>
      <c r="N646" s="9" t="n">
        <v>1221.5112</v>
      </c>
      <c r="O646" s="9" t="n">
        <v>15111.3612</v>
      </c>
    </row>
    <row r="647" customFormat="false" ht="17.25" hidden="false" customHeight="false" outlineLevel="0" collapsed="false">
      <c r="B647" s="9" t="n">
        <v>3913</v>
      </c>
      <c r="C647" s="9" t="s">
        <v>1481</v>
      </c>
      <c r="D647" s="9" t="s">
        <v>849</v>
      </c>
      <c r="E647" s="9" t="s">
        <v>1482</v>
      </c>
      <c r="F647" s="10" t="s">
        <v>67</v>
      </c>
      <c r="G647" s="10" t="n">
        <v>11400</v>
      </c>
      <c r="H647" s="10" t="n">
        <v>7615.2</v>
      </c>
      <c r="I647" s="11" t="s">
        <v>751</v>
      </c>
      <c r="J647" s="9" t="s">
        <v>752</v>
      </c>
      <c r="K647" s="9" t="s">
        <v>7</v>
      </c>
      <c r="L647" s="9" t="s">
        <v>7</v>
      </c>
      <c r="M647" s="9" t="n">
        <v>361.722</v>
      </c>
      <c r="N647" s="9" t="n">
        <v>701.512224</v>
      </c>
      <c r="O647" s="9" t="n">
        <v>8678.434224</v>
      </c>
    </row>
    <row r="648" customFormat="false" ht="17.25" hidden="false" customHeight="false" outlineLevel="0" collapsed="false">
      <c r="B648" s="9" t="n">
        <v>3914</v>
      </c>
      <c r="C648" s="9" t="s">
        <v>1483</v>
      </c>
      <c r="D648" s="9" t="s">
        <v>787</v>
      </c>
      <c r="E648" s="9" t="s">
        <v>1484</v>
      </c>
      <c r="F648" s="10" t="s">
        <v>109</v>
      </c>
      <c r="G648" s="10" t="n">
        <v>11700</v>
      </c>
      <c r="H648" s="10" t="n">
        <v>11700</v>
      </c>
      <c r="I648" s="11" t="s">
        <v>759</v>
      </c>
      <c r="J648" s="9" t="s">
        <v>760</v>
      </c>
      <c r="K648" s="9" t="s">
        <v>7</v>
      </c>
      <c r="L648" s="9" t="s">
        <v>7</v>
      </c>
      <c r="M648" s="9" t="n">
        <v>555.75</v>
      </c>
      <c r="N648" s="9" t="n">
        <v>1077.804</v>
      </c>
      <c r="O648" s="9" t="n">
        <v>13333.554</v>
      </c>
    </row>
    <row r="649" customFormat="false" ht="17.25" hidden="false" customHeight="false" outlineLevel="0" collapsed="false">
      <c r="B649" s="9" t="n">
        <v>3917</v>
      </c>
      <c r="C649" s="9" t="s">
        <v>1485</v>
      </c>
      <c r="D649" s="9" t="s">
        <v>1486</v>
      </c>
      <c r="E649" s="9" t="s">
        <v>1484</v>
      </c>
      <c r="F649" s="10" t="s">
        <v>109</v>
      </c>
      <c r="G649" s="10" t="n">
        <v>12800</v>
      </c>
      <c r="H649" s="10" t="n">
        <v>12800</v>
      </c>
      <c r="I649" s="11" t="s">
        <v>16</v>
      </c>
      <c r="J649" s="9" t="s">
        <v>1065</v>
      </c>
      <c r="K649" s="9" t="s">
        <v>6</v>
      </c>
      <c r="L649" s="9" t="s">
        <v>16</v>
      </c>
      <c r="M649" s="9" t="n">
        <v>547.2</v>
      </c>
      <c r="N649" s="9" t="n">
        <v>1010.688</v>
      </c>
      <c r="O649" s="9" t="n">
        <v>14357.888</v>
      </c>
    </row>
    <row r="650" customFormat="false" ht="17.25" hidden="false" customHeight="false" outlineLevel="0" collapsed="false">
      <c r="B650" s="9" t="n">
        <v>3918</v>
      </c>
      <c r="C650" s="9" t="s">
        <v>1487</v>
      </c>
      <c r="D650" s="9" t="s">
        <v>797</v>
      </c>
      <c r="E650" s="9" t="s">
        <v>1488</v>
      </c>
      <c r="F650" s="10" t="s">
        <v>299</v>
      </c>
      <c r="G650" s="10" t="n">
        <v>17650</v>
      </c>
      <c r="H650" s="10" t="n">
        <v>17650</v>
      </c>
      <c r="I650" s="11" t="s">
        <v>751</v>
      </c>
      <c r="J650" s="9" t="s">
        <v>752</v>
      </c>
      <c r="K650" s="9" t="s">
        <v>6</v>
      </c>
      <c r="L650" s="9" t="s">
        <v>735</v>
      </c>
      <c r="M650" s="9" t="n">
        <v>754.5375</v>
      </c>
      <c r="N650" s="9" t="n">
        <v>1393.644</v>
      </c>
      <c r="O650" s="9" t="n">
        <v>19798.1815</v>
      </c>
    </row>
    <row r="651" customFormat="false" ht="17.25" hidden="false" customHeight="false" outlineLevel="0" collapsed="false">
      <c r="B651" s="9" t="n">
        <v>3921</v>
      </c>
      <c r="C651" s="9" t="s">
        <v>1489</v>
      </c>
      <c r="D651" s="9" t="s">
        <v>787</v>
      </c>
      <c r="E651" s="9" t="s">
        <v>1490</v>
      </c>
      <c r="F651" s="10" t="s">
        <v>109</v>
      </c>
      <c r="G651" s="10" t="n">
        <v>12500</v>
      </c>
      <c r="H651" s="10" t="n">
        <v>12500</v>
      </c>
      <c r="I651" s="11" t="s">
        <v>1491</v>
      </c>
      <c r="J651" s="9" t="s">
        <v>760</v>
      </c>
      <c r="K651" s="9" t="s">
        <v>10</v>
      </c>
      <c r="L651" s="9" t="s">
        <v>10</v>
      </c>
      <c r="M651" s="9" t="n">
        <v>534.375</v>
      </c>
      <c r="N651" s="9" t="n">
        <v>987</v>
      </c>
      <c r="O651" s="9" t="n">
        <v>14021.375</v>
      </c>
    </row>
    <row r="652" customFormat="false" ht="17.25" hidden="false" customHeight="false" outlineLevel="0" collapsed="false">
      <c r="B652" s="9" t="n">
        <v>3924</v>
      </c>
      <c r="C652" s="9" t="s">
        <v>1492</v>
      </c>
      <c r="D652" s="9" t="s">
        <v>1493</v>
      </c>
      <c r="E652" s="9" t="s">
        <v>710</v>
      </c>
      <c r="F652" s="10" t="s">
        <v>109</v>
      </c>
      <c r="G652" s="10" t="n">
        <v>15000</v>
      </c>
      <c r="H652" s="10" t="n">
        <v>15000</v>
      </c>
      <c r="I652" s="11" t="s">
        <v>834</v>
      </c>
      <c r="J652" s="9" t="s">
        <v>834</v>
      </c>
      <c r="K652" s="9" t="s">
        <v>10</v>
      </c>
      <c r="L652" s="9" t="s">
        <v>13</v>
      </c>
      <c r="M652" s="9" t="n">
        <v>641.25</v>
      </c>
      <c r="N652" s="9" t="n">
        <v>1184.4</v>
      </c>
      <c r="O652" s="9" t="n">
        <v>16825.65</v>
      </c>
    </row>
    <row r="653" customFormat="false" ht="17.25" hidden="false" customHeight="false" outlineLevel="0" collapsed="false">
      <c r="B653" s="9" t="n">
        <v>3925</v>
      </c>
      <c r="C653" s="9" t="s">
        <v>1494</v>
      </c>
      <c r="D653" s="9" t="s">
        <v>1495</v>
      </c>
      <c r="E653" s="9" t="s">
        <v>710</v>
      </c>
      <c r="F653" s="10" t="s">
        <v>109</v>
      </c>
      <c r="G653" s="10" t="n">
        <v>12000</v>
      </c>
      <c r="H653" s="10" t="n">
        <v>12000</v>
      </c>
      <c r="I653" s="11" t="s">
        <v>1495</v>
      </c>
      <c r="J653" s="9" t="s">
        <v>760</v>
      </c>
      <c r="K653" s="9" t="s">
        <v>8</v>
      </c>
      <c r="L653" s="9" t="s">
        <v>8</v>
      </c>
      <c r="M653" s="9" t="n">
        <v>513</v>
      </c>
      <c r="N653" s="9" t="n">
        <v>947.52</v>
      </c>
      <c r="O653" s="9" t="n">
        <v>13460.52</v>
      </c>
    </row>
    <row r="654" customFormat="false" ht="17.25" hidden="false" customHeight="false" outlineLevel="0" collapsed="false">
      <c r="B654" s="9" t="n">
        <v>3933</v>
      </c>
      <c r="C654" s="9" t="s">
        <v>1496</v>
      </c>
      <c r="D654" s="9" t="s">
        <v>797</v>
      </c>
      <c r="E654" s="9" t="s">
        <v>1497</v>
      </c>
      <c r="F654" s="10" t="s">
        <v>299</v>
      </c>
      <c r="G654" s="10" t="n">
        <v>17760</v>
      </c>
      <c r="H654" s="10" t="n">
        <v>17760</v>
      </c>
      <c r="I654" s="11" t="s">
        <v>759</v>
      </c>
      <c r="J654" s="9" t="s">
        <v>760</v>
      </c>
      <c r="K654" s="9" t="s">
        <v>7</v>
      </c>
      <c r="L654" s="9" t="s">
        <v>7</v>
      </c>
      <c r="M654" s="9" t="n">
        <v>843.6</v>
      </c>
      <c r="N654" s="9" t="n">
        <v>1636.0512</v>
      </c>
      <c r="O654" s="9" t="n">
        <v>20239.6512</v>
      </c>
    </row>
    <row r="655" customFormat="false" ht="17.25" hidden="false" customHeight="false" outlineLevel="0" collapsed="false">
      <c r="B655" s="9" t="n">
        <v>3936</v>
      </c>
      <c r="C655" s="9" t="s">
        <v>1498</v>
      </c>
      <c r="D655" s="9" t="s">
        <v>619</v>
      </c>
      <c r="E655" s="9" t="s">
        <v>1497</v>
      </c>
      <c r="F655" s="10" t="s">
        <v>299</v>
      </c>
      <c r="G655" s="10" t="n">
        <v>18150</v>
      </c>
      <c r="H655" s="10" t="n">
        <v>18150</v>
      </c>
      <c r="I655" s="11" t="s">
        <v>839</v>
      </c>
      <c r="J655" s="9" t="s">
        <v>839</v>
      </c>
      <c r="K655" s="9" t="s">
        <v>6</v>
      </c>
      <c r="L655" s="9" t="s">
        <v>16</v>
      </c>
      <c r="M655" s="9" t="n">
        <v>775.9125</v>
      </c>
      <c r="N655" s="9" t="n">
        <v>1433.124</v>
      </c>
      <c r="O655" s="9" t="n">
        <v>20359.0365</v>
      </c>
    </row>
    <row r="656" customFormat="false" ht="17.25" hidden="false" customHeight="false" outlineLevel="0" collapsed="false">
      <c r="B656" s="9" t="n">
        <v>3939</v>
      </c>
      <c r="C656" s="9" t="s">
        <v>1499</v>
      </c>
      <c r="D656" s="9" t="s">
        <v>1500</v>
      </c>
      <c r="E656" s="9" t="s">
        <v>1477</v>
      </c>
      <c r="F656" s="10" t="s">
        <v>109</v>
      </c>
      <c r="G656" s="10" t="n">
        <v>24400</v>
      </c>
      <c r="H656" s="10" t="n">
        <v>24400</v>
      </c>
      <c r="I656" s="11" t="s">
        <v>751</v>
      </c>
      <c r="J656" s="9" t="s">
        <v>752</v>
      </c>
      <c r="K656" s="9" t="s">
        <v>1501</v>
      </c>
      <c r="L656" s="9" t="s">
        <v>844</v>
      </c>
      <c r="M656" s="9" t="n">
        <v>0</v>
      </c>
      <c r="N656" s="9" t="n">
        <v>1926.624</v>
      </c>
      <c r="O656" s="9" t="n">
        <v>26326.624</v>
      </c>
    </row>
    <row r="657" customFormat="false" ht="17.25" hidden="false" customHeight="false" outlineLevel="0" collapsed="false">
      <c r="B657" s="9" t="n">
        <v>3940</v>
      </c>
      <c r="C657" s="9" t="s">
        <v>1502</v>
      </c>
      <c r="D657" s="9" t="s">
        <v>1500</v>
      </c>
      <c r="E657" s="9" t="s">
        <v>1477</v>
      </c>
      <c r="F657" s="10" t="s">
        <v>109</v>
      </c>
      <c r="G657" s="10" t="n">
        <v>24400</v>
      </c>
      <c r="H657" s="10" t="n">
        <v>24400</v>
      </c>
      <c r="I657" s="11" t="s">
        <v>751</v>
      </c>
      <c r="J657" s="9" t="s">
        <v>752</v>
      </c>
      <c r="K657" s="9" t="s">
        <v>1501</v>
      </c>
      <c r="L657" s="9" t="s">
        <v>844</v>
      </c>
      <c r="M657" s="9" t="n">
        <v>0</v>
      </c>
      <c r="N657" s="9" t="n">
        <v>1926.624</v>
      </c>
      <c r="O657" s="9" t="n">
        <v>26326.624</v>
      </c>
    </row>
    <row r="658" customFormat="false" ht="17.25" hidden="false" customHeight="false" outlineLevel="0" collapsed="false">
      <c r="B658" s="9" t="n">
        <v>3941</v>
      </c>
      <c r="C658" s="9" t="s">
        <v>1503</v>
      </c>
      <c r="D658" s="9" t="s">
        <v>1147</v>
      </c>
      <c r="E658" s="9" t="s">
        <v>1477</v>
      </c>
      <c r="F658" s="10" t="s">
        <v>299</v>
      </c>
      <c r="G658" s="10" t="n">
        <v>18910</v>
      </c>
      <c r="H658" s="10" t="n">
        <v>18910</v>
      </c>
      <c r="I658" s="11" t="s">
        <v>699</v>
      </c>
      <c r="J658" s="9" t="s">
        <v>734</v>
      </c>
      <c r="K658" s="9" t="s">
        <v>1501</v>
      </c>
      <c r="L658" s="9" t="s">
        <v>10</v>
      </c>
      <c r="M658" s="9" t="n">
        <v>808.4025</v>
      </c>
      <c r="N658" s="9" t="n">
        <v>1493.1336</v>
      </c>
      <c r="O658" s="9" t="n">
        <v>21211.5361</v>
      </c>
    </row>
    <row r="659" customFormat="false" ht="17.25" hidden="false" customHeight="false" outlineLevel="0" collapsed="false">
      <c r="B659" s="9" t="n">
        <v>3951</v>
      </c>
      <c r="C659" s="9" t="s">
        <v>1504</v>
      </c>
      <c r="D659" s="9" t="s">
        <v>1007</v>
      </c>
      <c r="E659" s="9" t="s">
        <v>390</v>
      </c>
      <c r="F659" s="10" t="s">
        <v>109</v>
      </c>
      <c r="G659" s="10" t="n">
        <v>11450</v>
      </c>
      <c r="H659" s="10" t="n">
        <v>8015</v>
      </c>
      <c r="I659" s="11" t="s">
        <v>699</v>
      </c>
      <c r="J659" s="9" t="s">
        <v>734</v>
      </c>
      <c r="K659" s="9" t="s">
        <v>8</v>
      </c>
      <c r="L659" s="9" t="s">
        <v>8</v>
      </c>
      <c r="M659" s="9" t="n">
        <v>342.64125</v>
      </c>
      <c r="N659" s="9" t="n">
        <v>632.8644</v>
      </c>
      <c r="O659" s="9" t="n">
        <v>8990.50565</v>
      </c>
    </row>
    <row r="660" customFormat="false" ht="17.25" hidden="false" customHeight="false" outlineLevel="0" collapsed="false">
      <c r="B660" s="9" t="n">
        <v>3952</v>
      </c>
      <c r="C660" s="9" t="s">
        <v>1505</v>
      </c>
      <c r="D660" s="9" t="s">
        <v>808</v>
      </c>
      <c r="E660" s="9" t="s">
        <v>1506</v>
      </c>
      <c r="F660" s="10" t="s">
        <v>109</v>
      </c>
      <c r="G660" s="10" t="n">
        <v>16380</v>
      </c>
      <c r="H660" s="10" t="n">
        <v>16380</v>
      </c>
      <c r="I660" s="11" t="s">
        <v>799</v>
      </c>
      <c r="J660" s="9" t="s">
        <v>739</v>
      </c>
      <c r="K660" s="9" t="s">
        <v>6</v>
      </c>
      <c r="L660" s="9" t="s">
        <v>735</v>
      </c>
      <c r="M660" s="9" t="n">
        <v>700.245</v>
      </c>
      <c r="N660" s="9" t="n">
        <v>1293.3648</v>
      </c>
      <c r="O660" s="9" t="n">
        <v>18373.6098</v>
      </c>
    </row>
    <row r="661" customFormat="false" ht="17.25" hidden="false" customHeight="false" outlineLevel="0" collapsed="false">
      <c r="B661" s="9" t="n">
        <v>3955</v>
      </c>
      <c r="C661" s="9" t="s">
        <v>1507</v>
      </c>
      <c r="D661" s="9" t="s">
        <v>1303</v>
      </c>
      <c r="E661" s="9" t="s">
        <v>1508</v>
      </c>
      <c r="F661" s="10" t="s">
        <v>109</v>
      </c>
      <c r="G661" s="10" t="n">
        <v>23800</v>
      </c>
      <c r="H661" s="10" t="n">
        <v>23800</v>
      </c>
      <c r="I661" s="11" t="s">
        <v>773</v>
      </c>
      <c r="J661" s="9" t="s">
        <v>773</v>
      </c>
      <c r="K661" s="9" t="s">
        <v>1501</v>
      </c>
      <c r="L661" s="9" t="s">
        <v>844</v>
      </c>
      <c r="M661" s="9" t="n">
        <v>0</v>
      </c>
      <c r="N661" s="9" t="n">
        <v>1879.248</v>
      </c>
      <c r="O661" s="9" t="n">
        <v>25679.248</v>
      </c>
    </row>
    <row r="662" customFormat="false" ht="17.25" hidden="false" customHeight="false" outlineLevel="0" collapsed="false">
      <c r="B662" s="9" t="n">
        <v>3956</v>
      </c>
      <c r="C662" s="9" t="s">
        <v>1509</v>
      </c>
      <c r="D662" s="9" t="s">
        <v>1500</v>
      </c>
      <c r="E662" s="9" t="s">
        <v>1508</v>
      </c>
      <c r="F662" s="10" t="s">
        <v>109</v>
      </c>
      <c r="G662" s="10" t="n">
        <v>24400</v>
      </c>
      <c r="H662" s="10" t="n">
        <v>24400</v>
      </c>
      <c r="I662" s="11" t="s">
        <v>751</v>
      </c>
      <c r="J662" s="9" t="s">
        <v>752</v>
      </c>
      <c r="K662" s="9" t="s">
        <v>1501</v>
      </c>
      <c r="L662" s="9" t="s">
        <v>844</v>
      </c>
      <c r="M662" s="9" t="n">
        <v>0</v>
      </c>
      <c r="N662" s="9" t="n">
        <v>1926.624</v>
      </c>
      <c r="O662" s="9" t="n">
        <v>26326.624</v>
      </c>
    </row>
    <row r="663" customFormat="false" ht="17.25" hidden="false" customHeight="false" outlineLevel="0" collapsed="false">
      <c r="B663" s="9" t="n">
        <v>3962</v>
      </c>
      <c r="C663" s="9" t="s">
        <v>1510</v>
      </c>
      <c r="D663" s="9" t="s">
        <v>895</v>
      </c>
      <c r="E663" s="9" t="s">
        <v>1511</v>
      </c>
      <c r="F663" s="10" t="s">
        <v>109</v>
      </c>
      <c r="G663" s="10" t="n">
        <v>16000</v>
      </c>
      <c r="H663" s="10" t="n">
        <v>16000</v>
      </c>
      <c r="I663" s="11" t="s">
        <v>751</v>
      </c>
      <c r="J663" s="9" t="s">
        <v>752</v>
      </c>
      <c r="K663" s="9" t="s">
        <v>10</v>
      </c>
      <c r="L663" s="9" t="s">
        <v>19</v>
      </c>
      <c r="M663" s="9" t="n">
        <v>684</v>
      </c>
      <c r="N663" s="9" t="n">
        <v>1263.36</v>
      </c>
      <c r="O663" s="9" t="n">
        <v>17947.36</v>
      </c>
    </row>
    <row r="664" customFormat="false" ht="17.25" hidden="false" customHeight="false" outlineLevel="0" collapsed="false">
      <c r="B664" s="9" t="n">
        <v>3963</v>
      </c>
      <c r="C664" s="9" t="s">
        <v>1512</v>
      </c>
      <c r="D664" s="9" t="s">
        <v>797</v>
      </c>
      <c r="E664" s="9" t="s">
        <v>1513</v>
      </c>
      <c r="F664" s="10" t="s">
        <v>299</v>
      </c>
      <c r="G664" s="10" t="n">
        <v>25852</v>
      </c>
      <c r="H664" s="10" t="n">
        <v>25852</v>
      </c>
      <c r="I664" s="11" t="s">
        <v>839</v>
      </c>
      <c r="J664" s="9" t="s">
        <v>839</v>
      </c>
      <c r="K664" s="9" t="s">
        <v>6</v>
      </c>
      <c r="L664" s="9" t="s">
        <v>1056</v>
      </c>
      <c r="M664" s="9" t="n">
        <v>0</v>
      </c>
      <c r="N664" s="9" t="n">
        <v>1974</v>
      </c>
      <c r="O664" s="9" t="n">
        <v>27826</v>
      </c>
    </row>
    <row r="665" customFormat="false" ht="17.25" hidden="false" customHeight="false" outlineLevel="0" collapsed="false">
      <c r="B665" s="9" t="n">
        <v>3970</v>
      </c>
      <c r="C665" s="9" t="s">
        <v>1514</v>
      </c>
      <c r="D665" s="9" t="s">
        <v>797</v>
      </c>
      <c r="E665" s="9" t="s">
        <v>1515</v>
      </c>
      <c r="F665" s="10" t="s">
        <v>299</v>
      </c>
      <c r="G665" s="10" t="n">
        <v>19980</v>
      </c>
      <c r="H665" s="10" t="n">
        <v>19980</v>
      </c>
      <c r="I665" s="11" t="s">
        <v>688</v>
      </c>
      <c r="J665" s="9" t="s">
        <v>688</v>
      </c>
      <c r="K665" s="9" t="s">
        <v>6</v>
      </c>
      <c r="L665" s="9" t="s">
        <v>1056</v>
      </c>
      <c r="M665" s="9" t="n">
        <v>854.145</v>
      </c>
      <c r="N665" s="9" t="n">
        <v>1577.6208</v>
      </c>
      <c r="O665" s="9" t="n">
        <v>22411.7658</v>
      </c>
    </row>
    <row r="666" customFormat="false" ht="17.25" hidden="false" customHeight="false" outlineLevel="0" collapsed="false">
      <c r="B666" s="9" t="n">
        <v>3981</v>
      </c>
      <c r="C666" s="9" t="s">
        <v>1516</v>
      </c>
      <c r="D666" s="9" t="s">
        <v>584</v>
      </c>
      <c r="E666" s="9" t="s">
        <v>1517</v>
      </c>
      <c r="F666" s="10" t="s">
        <v>109</v>
      </c>
      <c r="G666" s="10" t="n">
        <v>12000</v>
      </c>
      <c r="H666" s="10" t="n">
        <v>12000</v>
      </c>
      <c r="I666" s="11" t="s">
        <v>799</v>
      </c>
      <c r="J666" s="9" t="s">
        <v>739</v>
      </c>
      <c r="K666" s="9" t="s">
        <v>4</v>
      </c>
      <c r="L666" s="9" t="s">
        <v>4</v>
      </c>
      <c r="M666" s="9" t="n">
        <v>513</v>
      </c>
      <c r="N666" s="9" t="n">
        <v>947.52</v>
      </c>
      <c r="O666" s="9" t="n">
        <v>13460.52</v>
      </c>
    </row>
    <row r="667" customFormat="false" ht="17.25" hidden="false" customHeight="false" outlineLevel="0" collapsed="false">
      <c r="B667" s="9" t="n">
        <v>4004</v>
      </c>
      <c r="C667" s="9" t="s">
        <v>1518</v>
      </c>
      <c r="D667" s="9" t="s">
        <v>1165</v>
      </c>
      <c r="E667" s="9" t="s">
        <v>1519</v>
      </c>
      <c r="F667" s="10" t="s">
        <v>109</v>
      </c>
      <c r="G667" s="10" t="n">
        <v>18750</v>
      </c>
      <c r="H667" s="10" t="n">
        <v>18750</v>
      </c>
      <c r="I667" s="11" t="s">
        <v>773</v>
      </c>
      <c r="J667" s="9" t="s">
        <v>773</v>
      </c>
      <c r="K667" s="9" t="s">
        <v>1501</v>
      </c>
      <c r="L667" s="9" t="s">
        <v>844</v>
      </c>
      <c r="M667" s="9" t="n">
        <v>801.5625</v>
      </c>
      <c r="N667" s="9" t="n">
        <v>1480.5</v>
      </c>
      <c r="O667" s="9" t="n">
        <v>21032.0625</v>
      </c>
    </row>
    <row r="668" customFormat="false" ht="17.25" hidden="false" customHeight="false" outlineLevel="0" collapsed="false">
      <c r="B668" s="9" t="n">
        <v>4006</v>
      </c>
      <c r="C668" s="9" t="s">
        <v>1520</v>
      </c>
      <c r="D668" s="9" t="s">
        <v>1521</v>
      </c>
      <c r="E668" s="9" t="s">
        <v>403</v>
      </c>
      <c r="F668" s="10" t="s">
        <v>146</v>
      </c>
      <c r="G668" s="10" t="n">
        <v>79560</v>
      </c>
      <c r="H668" s="10" t="n">
        <v>79560</v>
      </c>
      <c r="I668" s="11" t="s">
        <v>999</v>
      </c>
      <c r="J668" s="9" t="s">
        <v>999</v>
      </c>
      <c r="K668" s="9" t="s">
        <v>7</v>
      </c>
      <c r="L668" s="9" t="s">
        <v>13</v>
      </c>
      <c r="M668" s="9" t="n">
        <v>0</v>
      </c>
      <c r="N668" s="9" t="n">
        <v>1974</v>
      </c>
      <c r="O668" s="9" t="n">
        <v>81534</v>
      </c>
    </row>
    <row r="669" customFormat="false" ht="17.25" hidden="false" customHeight="false" outlineLevel="0" collapsed="false">
      <c r="B669" s="9" t="n">
        <v>4007</v>
      </c>
      <c r="C669" s="9" t="s">
        <v>1522</v>
      </c>
      <c r="D669" s="9" t="s">
        <v>1110</v>
      </c>
      <c r="E669" s="9" t="s">
        <v>1519</v>
      </c>
      <c r="F669" s="10" t="s">
        <v>299</v>
      </c>
      <c r="G669" s="10" t="n">
        <v>22000</v>
      </c>
      <c r="H669" s="10" t="n">
        <v>22000</v>
      </c>
      <c r="I669" s="11" t="s">
        <v>751</v>
      </c>
      <c r="J669" s="9" t="s">
        <v>752</v>
      </c>
      <c r="K669" s="9" t="s">
        <v>1501</v>
      </c>
      <c r="L669" s="9" t="s">
        <v>844</v>
      </c>
      <c r="M669" s="9" t="n">
        <v>940.5</v>
      </c>
      <c r="N669" s="9" t="n">
        <v>1737.12</v>
      </c>
      <c r="O669" s="9" t="n">
        <v>24677.62</v>
      </c>
    </row>
    <row r="670" customFormat="false" ht="17.25" hidden="false" customHeight="false" outlineLevel="0" collapsed="false">
      <c r="B670" s="9" t="n">
        <v>4012</v>
      </c>
      <c r="C670" s="9" t="s">
        <v>1523</v>
      </c>
      <c r="D670" s="9" t="s">
        <v>1524</v>
      </c>
      <c r="E670" s="9" t="s">
        <v>1525</v>
      </c>
      <c r="F670" s="10" t="s">
        <v>109</v>
      </c>
      <c r="G670" s="10" t="n">
        <v>18550</v>
      </c>
      <c r="H670" s="10" t="n">
        <v>18550</v>
      </c>
      <c r="I670" s="11" t="s">
        <v>1526</v>
      </c>
      <c r="J670" s="9" t="s">
        <v>839</v>
      </c>
      <c r="K670" s="9" t="s">
        <v>6</v>
      </c>
      <c r="L670" s="9" t="s">
        <v>16</v>
      </c>
      <c r="M670" s="9" t="n">
        <v>793.0125</v>
      </c>
      <c r="N670" s="9" t="n">
        <v>1464.708</v>
      </c>
      <c r="O670" s="9" t="n">
        <v>20807.7205</v>
      </c>
    </row>
    <row r="671" customFormat="false" ht="17.25" hidden="false" customHeight="false" outlineLevel="0" collapsed="false">
      <c r="B671" s="9" t="n">
        <v>4016</v>
      </c>
      <c r="C671" s="9" t="s">
        <v>1527</v>
      </c>
      <c r="D671" s="9" t="s">
        <v>619</v>
      </c>
      <c r="E671" s="9" t="s">
        <v>1528</v>
      </c>
      <c r="F671" s="10" t="s">
        <v>109</v>
      </c>
      <c r="G671" s="10" t="n">
        <v>22500</v>
      </c>
      <c r="H671" s="10" t="n">
        <v>22500</v>
      </c>
      <c r="I671" s="11" t="s">
        <v>759</v>
      </c>
      <c r="J671" s="9" t="s">
        <v>760</v>
      </c>
      <c r="K671" s="9" t="s">
        <v>1501</v>
      </c>
      <c r="L671" s="9" t="s">
        <v>844</v>
      </c>
      <c r="M671" s="9" t="n">
        <v>961.875</v>
      </c>
      <c r="N671" s="9" t="n">
        <v>1776.6</v>
      </c>
      <c r="O671" s="9" t="n">
        <v>25238.475</v>
      </c>
    </row>
    <row r="672" customFormat="false" ht="17.25" hidden="false" customHeight="false" outlineLevel="0" collapsed="false">
      <c r="B672" s="9" t="n">
        <v>4017</v>
      </c>
      <c r="C672" s="9" t="s">
        <v>1529</v>
      </c>
      <c r="D672" s="9" t="s">
        <v>584</v>
      </c>
      <c r="E672" s="9" t="s">
        <v>1528</v>
      </c>
      <c r="F672" s="10" t="s">
        <v>338</v>
      </c>
      <c r="G672" s="10" t="n">
        <v>9000</v>
      </c>
      <c r="H672" s="10" t="n">
        <v>9000</v>
      </c>
      <c r="I672" s="11" t="s">
        <v>905</v>
      </c>
      <c r="J672" s="9" t="s">
        <v>739</v>
      </c>
      <c r="K672" s="9" t="s">
        <v>10</v>
      </c>
      <c r="L672" s="9" t="s">
        <v>10</v>
      </c>
      <c r="M672" s="9" t="n">
        <v>384.75</v>
      </c>
      <c r="N672" s="9" t="n">
        <v>710.64</v>
      </c>
      <c r="O672" s="9" t="n">
        <v>10095.39</v>
      </c>
    </row>
    <row r="673" customFormat="false" ht="17.25" hidden="false" customHeight="false" outlineLevel="0" collapsed="false">
      <c r="B673" s="9" t="n">
        <v>4019</v>
      </c>
      <c r="C673" s="9" t="s">
        <v>1530</v>
      </c>
      <c r="D673" s="9" t="s">
        <v>1007</v>
      </c>
      <c r="E673" s="9" t="s">
        <v>1531</v>
      </c>
      <c r="F673" s="10" t="s">
        <v>109</v>
      </c>
      <c r="G673" s="10" t="n">
        <v>21500</v>
      </c>
      <c r="H673" s="10" t="n">
        <v>21500</v>
      </c>
      <c r="I673" s="11" t="s">
        <v>759</v>
      </c>
      <c r="J673" s="9" t="s">
        <v>760</v>
      </c>
      <c r="K673" s="9" t="s">
        <v>1501</v>
      </c>
      <c r="L673" s="9" t="s">
        <v>844</v>
      </c>
      <c r="M673" s="9" t="n">
        <v>919.125</v>
      </c>
      <c r="N673" s="9" t="n">
        <v>1697.64</v>
      </c>
      <c r="O673" s="9" t="n">
        <v>24116.765</v>
      </c>
    </row>
    <row r="674" customFormat="false" ht="17.25" hidden="false" customHeight="false" outlineLevel="0" collapsed="false">
      <c r="B674" s="9" t="n">
        <v>4022</v>
      </c>
      <c r="C674" s="9" t="s">
        <v>1532</v>
      </c>
      <c r="D674" s="9" t="s">
        <v>619</v>
      </c>
      <c r="E674" s="9" t="s">
        <v>1533</v>
      </c>
      <c r="F674" s="10" t="s">
        <v>109</v>
      </c>
      <c r="G674" s="10" t="n">
        <v>18000</v>
      </c>
      <c r="H674" s="10" t="n">
        <v>18000</v>
      </c>
      <c r="I674" s="11" t="s">
        <v>759</v>
      </c>
      <c r="J674" s="9" t="s">
        <v>760</v>
      </c>
      <c r="K674" s="9" t="s">
        <v>7</v>
      </c>
      <c r="L674" s="9" t="s">
        <v>17</v>
      </c>
      <c r="M674" s="9" t="n">
        <v>855</v>
      </c>
      <c r="N674" s="9" t="n">
        <v>1658.16</v>
      </c>
      <c r="O674" s="9" t="n">
        <v>20513.16</v>
      </c>
    </row>
    <row r="675" customFormat="false" ht="17.25" hidden="false" customHeight="false" outlineLevel="0" collapsed="false">
      <c r="B675" s="9" t="n">
        <v>4025</v>
      </c>
      <c r="C675" s="9" t="s">
        <v>1534</v>
      </c>
      <c r="D675" s="9" t="s">
        <v>1535</v>
      </c>
      <c r="E675" s="9" t="s">
        <v>1533</v>
      </c>
      <c r="F675" s="10" t="s">
        <v>79</v>
      </c>
      <c r="G675" s="10" t="n">
        <v>20000</v>
      </c>
      <c r="H675" s="10" t="n">
        <v>20000</v>
      </c>
      <c r="I675" s="11" t="s">
        <v>751</v>
      </c>
      <c r="J675" s="9" t="s">
        <v>752</v>
      </c>
      <c r="K675" s="9" t="s">
        <v>1501</v>
      </c>
      <c r="L675" s="9" t="s">
        <v>844</v>
      </c>
      <c r="M675" s="9" t="n">
        <v>855</v>
      </c>
      <c r="N675" s="9" t="n">
        <v>1579.2</v>
      </c>
      <c r="O675" s="9" t="n">
        <v>22434.2</v>
      </c>
    </row>
    <row r="676" customFormat="false" ht="17.25" hidden="false" customHeight="false" outlineLevel="0" collapsed="false">
      <c r="B676" s="9" t="n">
        <v>4029</v>
      </c>
      <c r="C676" s="9" t="s">
        <v>1536</v>
      </c>
      <c r="D676" s="9" t="s">
        <v>1537</v>
      </c>
      <c r="E676" s="9" t="s">
        <v>1538</v>
      </c>
      <c r="F676" s="10" t="s">
        <v>299</v>
      </c>
      <c r="G676" s="10" t="n">
        <v>23500</v>
      </c>
      <c r="H676" s="10" t="n">
        <v>23500</v>
      </c>
      <c r="I676" s="11" t="s">
        <v>751</v>
      </c>
      <c r="J676" s="9" t="s">
        <v>752</v>
      </c>
      <c r="K676" s="9" t="s">
        <v>1501</v>
      </c>
      <c r="L676" s="9" t="s">
        <v>844</v>
      </c>
      <c r="M676" s="9" t="n">
        <v>0</v>
      </c>
      <c r="N676" s="9" t="n">
        <v>1855.56</v>
      </c>
      <c r="O676" s="9" t="n">
        <v>25355.56</v>
      </c>
    </row>
    <row r="677" customFormat="false" ht="17.25" hidden="false" customHeight="false" outlineLevel="0" collapsed="false">
      <c r="B677" s="9" t="n">
        <v>4030</v>
      </c>
      <c r="C677" s="9" t="s">
        <v>1539</v>
      </c>
      <c r="D677" s="9" t="s">
        <v>1540</v>
      </c>
      <c r="E677" s="9" t="s">
        <v>604</v>
      </c>
      <c r="F677" s="10" t="s">
        <v>67</v>
      </c>
      <c r="G677" s="10" t="n">
        <v>15000</v>
      </c>
      <c r="H677" s="10" t="n">
        <v>15000</v>
      </c>
      <c r="I677" s="11" t="s">
        <v>1028</v>
      </c>
      <c r="J677" s="9" t="s">
        <v>1028</v>
      </c>
      <c r="K677" s="9" t="s">
        <v>8</v>
      </c>
      <c r="L677" s="9" t="s">
        <v>8</v>
      </c>
      <c r="M677" s="9" t="n">
        <v>641.25</v>
      </c>
      <c r="N677" s="9" t="n">
        <v>1184.4</v>
      </c>
      <c r="O677" s="9" t="n">
        <v>16825.65</v>
      </c>
    </row>
    <row r="678" customFormat="false" ht="17.25" hidden="false" customHeight="false" outlineLevel="0" collapsed="false">
      <c r="B678" s="9" t="n">
        <v>4032</v>
      </c>
      <c r="C678" s="9" t="s">
        <v>1541</v>
      </c>
      <c r="D678" s="9" t="s">
        <v>1542</v>
      </c>
      <c r="E678" s="9" t="s">
        <v>1543</v>
      </c>
      <c r="F678" s="10" t="s">
        <v>67</v>
      </c>
      <c r="G678" s="10" t="n">
        <v>10000</v>
      </c>
      <c r="H678" s="10" t="n">
        <v>10000</v>
      </c>
      <c r="I678" s="11" t="s">
        <v>751</v>
      </c>
      <c r="J678" s="9" t="s">
        <v>752</v>
      </c>
      <c r="K678" s="9" t="s">
        <v>7</v>
      </c>
      <c r="L678" s="9" t="s">
        <v>7</v>
      </c>
      <c r="M678" s="9" t="n">
        <v>475</v>
      </c>
      <c r="N678" s="9" t="n">
        <v>921.2</v>
      </c>
      <c r="O678" s="9" t="n">
        <v>11396.2</v>
      </c>
    </row>
    <row r="679" customFormat="false" ht="17.25" hidden="false" customHeight="false" outlineLevel="0" collapsed="false">
      <c r="B679" s="9" t="n">
        <v>4033</v>
      </c>
      <c r="C679" s="9" t="s">
        <v>1544</v>
      </c>
      <c r="D679" s="9" t="s">
        <v>1545</v>
      </c>
      <c r="E679" s="9" t="s">
        <v>1546</v>
      </c>
      <c r="F679" s="10" t="s">
        <v>299</v>
      </c>
      <c r="G679" s="10" t="n">
        <v>25000</v>
      </c>
      <c r="H679" s="10" t="n">
        <v>25000</v>
      </c>
      <c r="I679" s="11" t="s">
        <v>742</v>
      </c>
      <c r="J679" s="9" t="s">
        <v>743</v>
      </c>
      <c r="K679" s="9" t="s">
        <v>1501</v>
      </c>
      <c r="L679" s="9" t="s">
        <v>844</v>
      </c>
      <c r="M679" s="9" t="n">
        <v>0</v>
      </c>
      <c r="N679" s="9" t="n">
        <v>1974</v>
      </c>
      <c r="O679" s="9" t="n">
        <v>26974</v>
      </c>
    </row>
    <row r="680" customFormat="false" ht="17.25" hidden="false" customHeight="false" outlineLevel="0" collapsed="false">
      <c r="B680" s="9" t="n">
        <v>4038</v>
      </c>
      <c r="C680" s="9" t="s">
        <v>1547</v>
      </c>
      <c r="D680" s="9" t="s">
        <v>965</v>
      </c>
      <c r="E680" s="9" t="s">
        <v>687</v>
      </c>
      <c r="F680" s="10" t="s">
        <v>58</v>
      </c>
      <c r="G680" s="10" t="n">
        <v>34000</v>
      </c>
      <c r="H680" s="10" t="n">
        <v>34000</v>
      </c>
      <c r="I680" s="11" t="s">
        <v>1548</v>
      </c>
      <c r="J680" s="9" t="s">
        <v>1065</v>
      </c>
      <c r="K680" s="9" t="s">
        <v>6</v>
      </c>
      <c r="L680" s="9" t="s">
        <v>12</v>
      </c>
      <c r="M680" s="9" t="n">
        <v>0</v>
      </c>
      <c r="N680" s="9" t="n">
        <v>1974</v>
      </c>
      <c r="O680" s="9" t="n">
        <v>35974</v>
      </c>
    </row>
    <row r="681" customFormat="false" ht="17.25" hidden="false" customHeight="false" outlineLevel="0" collapsed="false">
      <c r="B681" s="9" t="n">
        <v>4041</v>
      </c>
      <c r="C681" s="9" t="s">
        <v>1549</v>
      </c>
      <c r="D681" s="9" t="s">
        <v>1550</v>
      </c>
      <c r="E681" s="9" t="s">
        <v>1551</v>
      </c>
      <c r="F681" s="10" t="s">
        <v>299</v>
      </c>
      <c r="G681" s="10" t="n">
        <v>26000</v>
      </c>
      <c r="H681" s="10" t="n">
        <v>26000</v>
      </c>
      <c r="I681" s="11" t="s">
        <v>839</v>
      </c>
      <c r="J681" s="9" t="s">
        <v>839</v>
      </c>
      <c r="K681" s="9" t="s">
        <v>7</v>
      </c>
      <c r="L681" s="9" t="s">
        <v>844</v>
      </c>
      <c r="M681" s="9" t="n">
        <v>0</v>
      </c>
      <c r="N681" s="9" t="n">
        <v>1974</v>
      </c>
      <c r="O681" s="9" t="n">
        <v>27974</v>
      </c>
    </row>
    <row r="682" customFormat="false" ht="17.25" hidden="false" customHeight="false" outlineLevel="0" collapsed="false">
      <c r="B682" s="9" t="n">
        <v>4045</v>
      </c>
      <c r="C682" s="9" t="s">
        <v>1552</v>
      </c>
      <c r="D682" s="9" t="s">
        <v>1007</v>
      </c>
      <c r="E682" s="9" t="s">
        <v>1553</v>
      </c>
      <c r="F682" s="10" t="s">
        <v>109</v>
      </c>
      <c r="G682" s="10" t="n">
        <v>17000</v>
      </c>
      <c r="H682" s="10" t="n">
        <v>17000</v>
      </c>
      <c r="I682" s="11" t="s">
        <v>799</v>
      </c>
      <c r="J682" s="9" t="s">
        <v>739</v>
      </c>
      <c r="K682" s="9" t="s">
        <v>10</v>
      </c>
      <c r="L682" s="9" t="s">
        <v>10</v>
      </c>
      <c r="M682" s="9" t="n">
        <v>726.75</v>
      </c>
      <c r="N682" s="9" t="n">
        <v>1342.32</v>
      </c>
      <c r="O682" s="9" t="n">
        <v>19069.07</v>
      </c>
    </row>
    <row r="683" customFormat="false" ht="17.25" hidden="false" customHeight="false" outlineLevel="0" collapsed="false">
      <c r="B683" s="9" t="n">
        <v>4053</v>
      </c>
      <c r="C683" s="9" t="s">
        <v>1554</v>
      </c>
      <c r="D683" s="9" t="s">
        <v>1555</v>
      </c>
      <c r="E683" s="9" t="s">
        <v>417</v>
      </c>
      <c r="F683" s="10" t="s">
        <v>87</v>
      </c>
      <c r="G683" s="10" t="n">
        <v>25000</v>
      </c>
      <c r="H683" s="10" t="n">
        <v>25000</v>
      </c>
      <c r="I683" s="11" t="s">
        <v>984</v>
      </c>
      <c r="J683" s="9" t="s">
        <v>743</v>
      </c>
      <c r="K683" s="9" t="s">
        <v>7</v>
      </c>
      <c r="L683" s="9" t="s">
        <v>13</v>
      </c>
      <c r="M683" s="9" t="n">
        <v>0</v>
      </c>
      <c r="N683" s="9" t="n">
        <v>1974</v>
      </c>
      <c r="O683" s="9" t="n">
        <v>26974</v>
      </c>
    </row>
    <row r="684" customFormat="false" ht="17.25" hidden="false" customHeight="false" outlineLevel="0" collapsed="false">
      <c r="B684" s="9" t="n">
        <v>4054</v>
      </c>
      <c r="C684" s="9" t="s">
        <v>1556</v>
      </c>
      <c r="D684" s="9" t="s">
        <v>1294</v>
      </c>
      <c r="E684" s="9" t="s">
        <v>698</v>
      </c>
      <c r="F684" s="10" t="s">
        <v>109</v>
      </c>
      <c r="G684" s="10" t="n">
        <v>14000</v>
      </c>
      <c r="H684" s="10" t="n">
        <v>14000</v>
      </c>
      <c r="I684" s="11" t="s">
        <v>699</v>
      </c>
      <c r="J684" s="9" t="s">
        <v>734</v>
      </c>
      <c r="K684" s="9" t="s">
        <v>7</v>
      </c>
      <c r="L684" s="9" t="s">
        <v>7</v>
      </c>
      <c r="M684" s="9" t="n">
        <v>665</v>
      </c>
      <c r="N684" s="9" t="n">
        <v>1289.68</v>
      </c>
      <c r="O684" s="9" t="n">
        <v>15954.68</v>
      </c>
    </row>
    <row r="685" customFormat="false" ht="17.25" hidden="false" customHeight="false" outlineLevel="0" collapsed="false">
      <c r="B685" s="9" t="n">
        <v>4067</v>
      </c>
      <c r="C685" s="9" t="s">
        <v>1557</v>
      </c>
      <c r="D685" s="9" t="s">
        <v>1558</v>
      </c>
      <c r="E685" s="9" t="s">
        <v>427</v>
      </c>
      <c r="F685" s="10" t="s">
        <v>299</v>
      </c>
      <c r="G685" s="10" t="n">
        <v>23000</v>
      </c>
      <c r="H685" s="10" t="n">
        <v>23000</v>
      </c>
      <c r="I685" s="11" t="s">
        <v>1447</v>
      </c>
      <c r="J685" s="9" t="s">
        <v>1065</v>
      </c>
      <c r="K685" s="9" t="s">
        <v>6</v>
      </c>
      <c r="L685" s="9" t="s">
        <v>12</v>
      </c>
      <c r="M685" s="9" t="n">
        <v>983.25</v>
      </c>
      <c r="N685" s="9" t="n">
        <v>1816.08</v>
      </c>
      <c r="O685" s="9" t="n">
        <v>25799.33</v>
      </c>
    </row>
    <row r="686" customFormat="false" ht="17.25" hidden="false" customHeight="false" outlineLevel="0" collapsed="false">
      <c r="B686" s="9" t="n">
        <v>4070</v>
      </c>
      <c r="C686" s="9" t="s">
        <v>1559</v>
      </c>
      <c r="D686" s="9" t="s">
        <v>1560</v>
      </c>
      <c r="E686" s="9" t="s">
        <v>1561</v>
      </c>
      <c r="F686" s="10" t="s">
        <v>109</v>
      </c>
      <c r="G686" s="10" t="n">
        <v>15000</v>
      </c>
      <c r="H686" s="10" t="n">
        <v>15000</v>
      </c>
      <c r="I686" s="11" t="s">
        <v>1440</v>
      </c>
      <c r="J686" s="9" t="s">
        <v>1065</v>
      </c>
      <c r="K686" s="9" t="s">
        <v>6</v>
      </c>
      <c r="L686" s="9" t="s">
        <v>16</v>
      </c>
      <c r="M686" s="9" t="n">
        <v>641.25</v>
      </c>
      <c r="N686" s="9" t="n">
        <v>1184.4</v>
      </c>
      <c r="O686" s="9" t="n">
        <v>16825.65</v>
      </c>
    </row>
    <row r="687" customFormat="false" ht="17.25" hidden="false" customHeight="false" outlineLevel="0" collapsed="false">
      <c r="B687" s="9" t="n">
        <v>4086</v>
      </c>
      <c r="C687" s="9" t="s">
        <v>1562</v>
      </c>
      <c r="D687" s="9" t="s">
        <v>1563</v>
      </c>
      <c r="E687" s="9" t="s">
        <v>1564</v>
      </c>
      <c r="F687" s="10" t="s">
        <v>299</v>
      </c>
      <c r="G687" s="10" t="n">
        <v>21500</v>
      </c>
      <c r="H687" s="10" t="n">
        <v>21500</v>
      </c>
      <c r="I687" s="11" t="s">
        <v>759</v>
      </c>
      <c r="J687" s="9" t="s">
        <v>760</v>
      </c>
      <c r="K687" s="9" t="s">
        <v>9</v>
      </c>
      <c r="L687" s="9" t="s">
        <v>8</v>
      </c>
      <c r="M687" s="9" t="n">
        <v>0</v>
      </c>
      <c r="N687" s="9" t="n">
        <v>1974</v>
      </c>
      <c r="O687" s="9" t="n">
        <v>23474</v>
      </c>
    </row>
    <row r="688" customFormat="false" ht="17.25" hidden="false" customHeight="false" outlineLevel="0" collapsed="false">
      <c r="B688" s="9" t="n">
        <v>4103</v>
      </c>
      <c r="C688" s="9" t="s">
        <v>1565</v>
      </c>
      <c r="D688" s="9" t="s">
        <v>1139</v>
      </c>
      <c r="E688" s="9" t="s">
        <v>1566</v>
      </c>
      <c r="F688" s="10" t="s">
        <v>79</v>
      </c>
      <c r="G688" s="10" t="n">
        <v>10000</v>
      </c>
      <c r="H688" s="10" t="n">
        <v>10000</v>
      </c>
      <c r="I688" s="11" t="s">
        <v>773</v>
      </c>
      <c r="J688" s="9" t="s">
        <v>773</v>
      </c>
      <c r="K688" s="9" t="s">
        <v>5</v>
      </c>
      <c r="L688" s="9" t="s">
        <v>5</v>
      </c>
      <c r="M688" s="9" t="n">
        <v>475</v>
      </c>
      <c r="N688" s="9" t="n">
        <v>921.2</v>
      </c>
      <c r="O688" s="9" t="n">
        <v>11396.2</v>
      </c>
    </row>
    <row r="689" customFormat="false" ht="17.25" hidden="false" customHeight="false" outlineLevel="0" collapsed="false">
      <c r="B689" s="9" t="n">
        <v>4106</v>
      </c>
      <c r="C689" s="9" t="s">
        <v>1567</v>
      </c>
      <c r="D689" s="9" t="s">
        <v>1568</v>
      </c>
      <c r="E689" s="9" t="s">
        <v>1569</v>
      </c>
      <c r="F689" s="10" t="s">
        <v>331</v>
      </c>
      <c r="G689" s="10" t="n">
        <v>10000</v>
      </c>
      <c r="H689" s="10" t="n">
        <v>10000</v>
      </c>
      <c r="I689" s="11" t="s">
        <v>905</v>
      </c>
      <c r="J689" s="9" t="s">
        <v>739</v>
      </c>
      <c r="K689" s="9" t="s">
        <v>4</v>
      </c>
      <c r="L689" s="9" t="s">
        <v>4</v>
      </c>
      <c r="M689" s="9" t="n">
        <v>427.5</v>
      </c>
      <c r="N689" s="9" t="n">
        <v>789.6</v>
      </c>
      <c r="O689" s="9" t="n">
        <v>11217.1</v>
      </c>
    </row>
    <row r="690" customFormat="false" ht="17.25" hidden="false" customHeight="false" outlineLevel="0" collapsed="false">
      <c r="B690" s="9" t="n">
        <v>4110</v>
      </c>
      <c r="C690" s="9" t="s">
        <v>1570</v>
      </c>
      <c r="D690" s="9" t="s">
        <v>624</v>
      </c>
      <c r="E690" s="9" t="s">
        <v>1571</v>
      </c>
      <c r="F690" s="10" t="s">
        <v>109</v>
      </c>
      <c r="G690" s="10" t="n">
        <v>15000</v>
      </c>
      <c r="H690" s="10" t="n">
        <v>15000</v>
      </c>
      <c r="I690" s="11" t="s">
        <v>699</v>
      </c>
      <c r="J690" s="9" t="s">
        <v>734</v>
      </c>
      <c r="K690" s="9" t="s">
        <v>3</v>
      </c>
      <c r="L690" s="9" t="s">
        <v>7</v>
      </c>
      <c r="M690" s="9" t="n">
        <v>641.25</v>
      </c>
      <c r="N690" s="9" t="n">
        <v>1184.4</v>
      </c>
      <c r="O690" s="9" t="n">
        <v>16825.65</v>
      </c>
    </row>
    <row r="691" customFormat="false" ht="17.25" hidden="false" customHeight="false" outlineLevel="0" collapsed="false">
      <c r="B691" s="9" t="n">
        <v>4111</v>
      </c>
      <c r="C691" s="9" t="s">
        <v>1572</v>
      </c>
      <c r="D691" s="9" t="s">
        <v>1573</v>
      </c>
      <c r="E691" s="9" t="s">
        <v>1574</v>
      </c>
      <c r="F691" s="10" t="s">
        <v>299</v>
      </c>
      <c r="G691" s="10" t="n">
        <v>23000</v>
      </c>
      <c r="H691" s="10" t="n">
        <v>23000</v>
      </c>
      <c r="I691" s="11" t="s">
        <v>839</v>
      </c>
      <c r="J691" s="9" t="s">
        <v>839</v>
      </c>
      <c r="K691" s="9" t="s">
        <v>10</v>
      </c>
      <c r="L691" s="9" t="s">
        <v>844</v>
      </c>
      <c r="M691" s="9" t="n">
        <v>983.25</v>
      </c>
      <c r="N691" s="9" t="n">
        <v>1816.08</v>
      </c>
      <c r="O691" s="9" t="n">
        <v>25799.33</v>
      </c>
    </row>
    <row r="692" customFormat="false" ht="17.25" hidden="false" customHeight="false" outlineLevel="0" collapsed="false">
      <c r="B692" s="9" t="n">
        <v>4124</v>
      </c>
      <c r="C692" s="9" t="s">
        <v>1575</v>
      </c>
      <c r="D692" s="9" t="s">
        <v>1303</v>
      </c>
      <c r="E692" s="9" t="s">
        <v>1576</v>
      </c>
      <c r="F692" s="10" t="s">
        <v>331</v>
      </c>
      <c r="G692" s="10" t="n">
        <v>20000</v>
      </c>
      <c r="H692" s="10" t="n">
        <v>20000</v>
      </c>
      <c r="I692" s="11" t="s">
        <v>773</v>
      </c>
      <c r="J692" s="9" t="s">
        <v>773</v>
      </c>
      <c r="K692" s="9" t="s">
        <v>1501</v>
      </c>
      <c r="L692" s="9" t="s">
        <v>844</v>
      </c>
      <c r="M692" s="9" t="n">
        <v>855</v>
      </c>
      <c r="N692" s="9" t="n">
        <v>1579.2</v>
      </c>
      <c r="O692" s="9" t="n">
        <v>22434.2</v>
      </c>
    </row>
    <row r="693" customFormat="false" ht="17.25" hidden="false" customHeight="false" outlineLevel="0" collapsed="false">
      <c r="B693" s="9" t="n">
        <v>4943</v>
      </c>
      <c r="C693" s="9" t="s">
        <v>1577</v>
      </c>
      <c r="D693" s="9" t="s">
        <v>1500</v>
      </c>
      <c r="E693" s="9" t="s">
        <v>1578</v>
      </c>
      <c r="F693" s="10" t="s">
        <v>331</v>
      </c>
      <c r="G693" s="10" t="n">
        <v>23500</v>
      </c>
      <c r="H693" s="10" t="n">
        <v>23500</v>
      </c>
      <c r="I693" s="11" t="s">
        <v>751</v>
      </c>
      <c r="J693" s="9" t="s">
        <v>752</v>
      </c>
      <c r="K693" s="9" t="s">
        <v>1501</v>
      </c>
      <c r="L693" s="9" t="s">
        <v>844</v>
      </c>
      <c r="M693" s="9" t="n">
        <v>0</v>
      </c>
      <c r="N693" s="9" t="n">
        <v>1855.56</v>
      </c>
      <c r="O693" s="9" t="n">
        <v>25355.56</v>
      </c>
    </row>
    <row r="694" customFormat="false" ht="17.25" hidden="false" customHeight="false" outlineLevel="0" collapsed="false">
      <c r="B694" s="9" t="n">
        <v>4130</v>
      </c>
      <c r="C694" s="9" t="s">
        <v>1579</v>
      </c>
      <c r="D694" s="9" t="s">
        <v>584</v>
      </c>
      <c r="E694" s="9" t="s">
        <v>465</v>
      </c>
      <c r="F694" s="10" t="s">
        <v>338</v>
      </c>
      <c r="G694" s="10" t="n">
        <v>9000</v>
      </c>
      <c r="H694" s="10" t="n">
        <v>9000</v>
      </c>
      <c r="I694" s="11" t="s">
        <v>799</v>
      </c>
      <c r="J694" s="9" t="s">
        <v>739</v>
      </c>
      <c r="K694" s="9" t="s">
        <v>5</v>
      </c>
      <c r="L694" s="9" t="s">
        <v>5</v>
      </c>
      <c r="M694" s="9" t="n">
        <v>427.5</v>
      </c>
      <c r="N694" s="9" t="n">
        <v>829.08</v>
      </c>
      <c r="O694" s="9" t="n">
        <v>10256.58</v>
      </c>
    </row>
    <row r="695" customFormat="false" ht="17.25" hidden="false" customHeight="false" outlineLevel="0" collapsed="false">
      <c r="B695" s="9" t="n">
        <v>4132</v>
      </c>
      <c r="C695" s="9" t="s">
        <v>1580</v>
      </c>
      <c r="D695" s="9" t="s">
        <v>619</v>
      </c>
      <c r="E695" s="9" t="s">
        <v>1581</v>
      </c>
      <c r="F695" s="10" t="s">
        <v>299</v>
      </c>
      <c r="G695" s="10" t="n">
        <v>22000</v>
      </c>
      <c r="H695" s="10" t="n">
        <v>22000</v>
      </c>
      <c r="I695" s="11" t="s">
        <v>759</v>
      </c>
      <c r="J695" s="9" t="s">
        <v>760</v>
      </c>
      <c r="K695" s="9" t="s">
        <v>9</v>
      </c>
      <c r="L695" s="9" t="s">
        <v>13</v>
      </c>
      <c r="M695" s="9" t="n">
        <v>0</v>
      </c>
      <c r="N695" s="9" t="n">
        <v>1974</v>
      </c>
      <c r="O695" s="9" t="n">
        <v>23974</v>
      </c>
    </row>
    <row r="696" customFormat="false" ht="17.25" hidden="false" customHeight="false" outlineLevel="0" collapsed="false">
      <c r="B696" s="9" t="n">
        <v>4137</v>
      </c>
      <c r="C696" s="9" t="s">
        <v>1582</v>
      </c>
      <c r="D696" s="9" t="s">
        <v>965</v>
      </c>
      <c r="E696" s="9" t="s">
        <v>1583</v>
      </c>
      <c r="F696" s="10" t="s">
        <v>58</v>
      </c>
      <c r="G696" s="10" t="n">
        <v>32000</v>
      </c>
      <c r="H696" s="10" t="n">
        <v>32000</v>
      </c>
      <c r="I696" s="11" t="s">
        <v>1584</v>
      </c>
      <c r="J696" s="9" t="s">
        <v>1065</v>
      </c>
      <c r="K696" s="9" t="s">
        <v>6</v>
      </c>
      <c r="L696" s="9" t="s">
        <v>12</v>
      </c>
      <c r="M696" s="9" t="n">
        <v>0</v>
      </c>
      <c r="N696" s="9" t="n">
        <v>1974</v>
      </c>
      <c r="O696" s="9" t="n">
        <v>33974</v>
      </c>
    </row>
    <row r="697" customFormat="false" ht="17.25" hidden="false" customHeight="false" outlineLevel="0" collapsed="false">
      <c r="B697" s="9" t="n">
        <v>4145</v>
      </c>
      <c r="C697" s="9" t="s">
        <v>1585</v>
      </c>
      <c r="D697" s="9" t="s">
        <v>584</v>
      </c>
      <c r="E697" s="9" t="s">
        <v>473</v>
      </c>
      <c r="F697" s="10" t="s">
        <v>109</v>
      </c>
      <c r="G697" s="10" t="n">
        <v>16000</v>
      </c>
      <c r="H697" s="10" t="n">
        <v>16000</v>
      </c>
      <c r="I697" s="11" t="s">
        <v>799</v>
      </c>
      <c r="J697" s="9" t="s">
        <v>739</v>
      </c>
      <c r="K697" s="9" t="s">
        <v>4</v>
      </c>
      <c r="L697" s="9" t="s">
        <v>17</v>
      </c>
      <c r="M697" s="9" t="n">
        <v>684</v>
      </c>
      <c r="N697" s="9" t="n">
        <v>1263.36</v>
      </c>
      <c r="O697" s="9" t="n">
        <v>17947.36</v>
      </c>
    </row>
    <row r="698" customFormat="false" ht="17.25" hidden="false" customHeight="false" outlineLevel="0" collapsed="false">
      <c r="B698" s="9" t="n">
        <v>4151</v>
      </c>
      <c r="C698" s="9" t="s">
        <v>1586</v>
      </c>
      <c r="D698" s="9" t="s">
        <v>619</v>
      </c>
      <c r="E698" s="9" t="s">
        <v>467</v>
      </c>
      <c r="F698" s="10" t="s">
        <v>299</v>
      </c>
      <c r="G698" s="10" t="n">
        <v>17000</v>
      </c>
      <c r="H698" s="10" t="n">
        <v>17000</v>
      </c>
      <c r="I698" s="11" t="s">
        <v>759</v>
      </c>
      <c r="J698" s="9" t="s">
        <v>760</v>
      </c>
      <c r="K698" s="9" t="s">
        <v>7</v>
      </c>
      <c r="L698" s="9" t="s">
        <v>17</v>
      </c>
      <c r="M698" s="9" t="n">
        <v>807.5</v>
      </c>
      <c r="N698" s="9" t="n">
        <v>1566.04</v>
      </c>
      <c r="O698" s="9" t="n">
        <v>19373.54</v>
      </c>
    </row>
    <row r="699" customFormat="false" ht="17.25" hidden="false" customHeight="false" outlineLevel="0" collapsed="false">
      <c r="B699" s="9" t="n">
        <v>4161</v>
      </c>
      <c r="C699" s="9" t="s">
        <v>1587</v>
      </c>
      <c r="D699" s="9" t="s">
        <v>1162</v>
      </c>
      <c r="E699" s="9" t="s">
        <v>1588</v>
      </c>
      <c r="F699" s="10" t="s">
        <v>331</v>
      </c>
      <c r="G699" s="10" t="n">
        <v>17000</v>
      </c>
      <c r="H699" s="10" t="n">
        <v>17000</v>
      </c>
      <c r="I699" s="11" t="s">
        <v>773</v>
      </c>
      <c r="J699" s="9" t="s">
        <v>773</v>
      </c>
      <c r="K699" s="9" t="s">
        <v>1501</v>
      </c>
      <c r="L699" s="9" t="s">
        <v>844</v>
      </c>
      <c r="M699" s="9" t="n">
        <v>726.75</v>
      </c>
      <c r="N699" s="9" t="n">
        <v>1342.32</v>
      </c>
      <c r="O699" s="9" t="n">
        <v>19069.07</v>
      </c>
    </row>
    <row r="700" customFormat="false" ht="17.25" hidden="false" customHeight="false" outlineLevel="0" collapsed="false">
      <c r="B700" s="9" t="n">
        <v>4166</v>
      </c>
      <c r="C700" s="9" t="s">
        <v>1589</v>
      </c>
      <c r="D700" s="9" t="s">
        <v>584</v>
      </c>
      <c r="E700" s="9" t="s">
        <v>481</v>
      </c>
      <c r="F700" s="10" t="s">
        <v>338</v>
      </c>
      <c r="G700" s="10" t="n">
        <v>8500</v>
      </c>
      <c r="H700" s="10" t="n">
        <v>8500</v>
      </c>
      <c r="I700" s="11" t="s">
        <v>905</v>
      </c>
      <c r="J700" s="9" t="s">
        <v>739</v>
      </c>
      <c r="K700" s="9" t="s">
        <v>10</v>
      </c>
      <c r="L700" s="9" t="s">
        <v>10</v>
      </c>
      <c r="M700" s="9" t="n">
        <v>363.375</v>
      </c>
      <c r="N700" s="9" t="n">
        <v>671.16</v>
      </c>
      <c r="O700" s="9" t="n">
        <v>9534.535</v>
      </c>
    </row>
    <row r="701" customFormat="false" ht="17.25" hidden="false" customHeight="false" outlineLevel="0" collapsed="false">
      <c r="B701" s="9" t="n">
        <v>4169</v>
      </c>
      <c r="C701" s="9" t="s">
        <v>1590</v>
      </c>
      <c r="D701" s="9" t="s">
        <v>1216</v>
      </c>
      <c r="E701" s="9" t="s">
        <v>1591</v>
      </c>
      <c r="F701" s="10" t="s">
        <v>299</v>
      </c>
      <c r="G701" s="10" t="n">
        <v>27000</v>
      </c>
      <c r="H701" s="10" t="n">
        <v>12600</v>
      </c>
      <c r="I701" s="11" t="s">
        <v>1232</v>
      </c>
      <c r="J701" s="9" t="s">
        <v>1041</v>
      </c>
      <c r="K701" s="9" t="s">
        <v>8</v>
      </c>
      <c r="L701" s="9" t="s">
        <v>13</v>
      </c>
      <c r="M701" s="9" t="n">
        <v>538.65</v>
      </c>
      <c r="N701" s="9" t="n">
        <v>994.896</v>
      </c>
      <c r="O701" s="9" t="n">
        <v>14133.546</v>
      </c>
    </row>
    <row r="702" customFormat="false" ht="17.25" hidden="false" customHeight="false" outlineLevel="0" collapsed="false">
      <c r="B702" s="9" t="n">
        <v>4173</v>
      </c>
      <c r="C702" s="9" t="s">
        <v>1592</v>
      </c>
      <c r="D702" s="9" t="s">
        <v>1007</v>
      </c>
      <c r="E702" s="9" t="s">
        <v>1591</v>
      </c>
      <c r="F702" s="10" t="s">
        <v>109</v>
      </c>
      <c r="G702" s="10" t="n">
        <v>10500</v>
      </c>
      <c r="H702" s="10" t="n">
        <v>10500</v>
      </c>
      <c r="I702" s="11" t="s">
        <v>1041</v>
      </c>
      <c r="J702" s="9" t="s">
        <v>1041</v>
      </c>
      <c r="K702" s="9" t="s">
        <v>3</v>
      </c>
      <c r="L702" s="9" t="s">
        <v>3</v>
      </c>
      <c r="M702" s="9" t="n">
        <v>448.875</v>
      </c>
      <c r="N702" s="9" t="n">
        <v>829.08</v>
      </c>
      <c r="O702" s="9" t="n">
        <v>11777.955</v>
      </c>
    </row>
    <row r="703" customFormat="false" ht="17.25" hidden="false" customHeight="false" outlineLevel="0" collapsed="false">
      <c r="B703" s="9" t="n">
        <v>4175</v>
      </c>
      <c r="C703" s="9" t="s">
        <v>1593</v>
      </c>
      <c r="D703" s="9" t="s">
        <v>1594</v>
      </c>
      <c r="E703" s="9" t="s">
        <v>487</v>
      </c>
      <c r="F703" s="10" t="s">
        <v>87</v>
      </c>
      <c r="G703" s="10" t="n">
        <v>28000</v>
      </c>
      <c r="H703" s="10" t="n">
        <v>28000</v>
      </c>
      <c r="I703" s="11" t="s">
        <v>759</v>
      </c>
      <c r="J703" s="9" t="s">
        <v>760</v>
      </c>
      <c r="K703" s="9" t="s">
        <v>8</v>
      </c>
      <c r="L703" s="9" t="s">
        <v>8</v>
      </c>
      <c r="M703" s="9" t="n">
        <v>0</v>
      </c>
      <c r="N703" s="9" t="n">
        <v>1974</v>
      </c>
      <c r="O703" s="9" t="n">
        <v>29974</v>
      </c>
    </row>
    <row r="704" customFormat="false" ht="17.25" hidden="false" customHeight="false" outlineLevel="0" collapsed="false">
      <c r="B704" s="9" t="n">
        <v>4182</v>
      </c>
      <c r="C704" s="9" t="s">
        <v>1595</v>
      </c>
      <c r="D704" s="9" t="s">
        <v>1162</v>
      </c>
      <c r="E704" s="9" t="s">
        <v>1596</v>
      </c>
      <c r="F704" s="10" t="s">
        <v>331</v>
      </c>
      <c r="G704" s="10" t="n">
        <v>10000</v>
      </c>
      <c r="H704" s="10" t="n">
        <v>10000</v>
      </c>
      <c r="I704" s="11" t="s">
        <v>773</v>
      </c>
      <c r="J704" s="9" t="s">
        <v>773</v>
      </c>
      <c r="K704" s="9" t="s">
        <v>3</v>
      </c>
      <c r="L704" s="9" t="s">
        <v>3</v>
      </c>
      <c r="M704" s="9" t="n">
        <v>427.5</v>
      </c>
      <c r="N704" s="9" t="n">
        <v>789.6</v>
      </c>
      <c r="O704" s="9" t="n">
        <v>11217.1</v>
      </c>
    </row>
    <row r="705" customFormat="false" ht="17.25" hidden="false" customHeight="false" outlineLevel="0" collapsed="false">
      <c r="B705" s="9" t="n">
        <v>4184</v>
      </c>
      <c r="C705" s="9" t="s">
        <v>1597</v>
      </c>
      <c r="D705" s="9" t="s">
        <v>1598</v>
      </c>
      <c r="E705" s="9" t="s">
        <v>702</v>
      </c>
      <c r="F705" s="10" t="s">
        <v>87</v>
      </c>
      <c r="G705" s="10" t="n">
        <v>25500</v>
      </c>
      <c r="H705" s="10" t="n">
        <v>25500</v>
      </c>
      <c r="I705" s="11" t="s">
        <v>1599</v>
      </c>
      <c r="J705" s="9" t="s">
        <v>760</v>
      </c>
      <c r="K705" s="9" t="s">
        <v>6</v>
      </c>
      <c r="L705" s="9" t="s">
        <v>1600</v>
      </c>
      <c r="M705" s="9" t="n">
        <v>0</v>
      </c>
      <c r="N705" s="9" t="n">
        <v>1974</v>
      </c>
      <c r="O705" s="9" t="n">
        <v>27474</v>
      </c>
    </row>
    <row r="706" customFormat="false" ht="17.25" hidden="false" customHeight="false" outlineLevel="0" collapsed="false">
      <c r="B706" s="9" t="n">
        <v>4189</v>
      </c>
      <c r="C706" s="9" t="s">
        <v>1601</v>
      </c>
      <c r="D706" s="9" t="s">
        <v>820</v>
      </c>
      <c r="E706" s="9" t="s">
        <v>1602</v>
      </c>
      <c r="F706" s="10" t="s">
        <v>61</v>
      </c>
      <c r="G706" s="10" t="n">
        <v>55000</v>
      </c>
      <c r="H706" s="10" t="n">
        <v>55000</v>
      </c>
      <c r="I706" s="11" t="s">
        <v>1447</v>
      </c>
      <c r="J706" s="9" t="s">
        <v>1065</v>
      </c>
      <c r="K706" s="9" t="s">
        <v>6</v>
      </c>
      <c r="L706" s="9" t="s">
        <v>12</v>
      </c>
      <c r="M706" s="9" t="n">
        <v>0</v>
      </c>
      <c r="N706" s="9" t="n">
        <v>1974</v>
      </c>
      <c r="O706" s="9" t="n">
        <v>56974</v>
      </c>
    </row>
    <row r="707" customFormat="false" ht="17.25" hidden="false" customHeight="false" outlineLevel="0" collapsed="false">
      <c r="B707" s="9" t="n">
        <v>4193</v>
      </c>
      <c r="C707" s="9" t="s">
        <v>1603</v>
      </c>
      <c r="D707" s="9" t="s">
        <v>1604</v>
      </c>
      <c r="E707" s="9" t="s">
        <v>475</v>
      </c>
      <c r="F707" s="10" t="s">
        <v>87</v>
      </c>
      <c r="G707" s="10" t="n">
        <v>33000</v>
      </c>
      <c r="H707" s="10" t="n">
        <v>33000</v>
      </c>
      <c r="I707" s="11" t="s">
        <v>742</v>
      </c>
      <c r="J707" s="9" t="s">
        <v>743</v>
      </c>
      <c r="K707" s="9" t="s">
        <v>7</v>
      </c>
      <c r="L707" s="9" t="s">
        <v>19</v>
      </c>
      <c r="M707" s="9" t="n">
        <v>0</v>
      </c>
      <c r="N707" s="9" t="n">
        <v>1974</v>
      </c>
      <c r="O707" s="9" t="n">
        <v>34974</v>
      </c>
    </row>
    <row r="708" customFormat="false" ht="17.25" hidden="false" customHeight="false" outlineLevel="0" collapsed="false">
      <c r="B708" s="9" t="n">
        <v>4197</v>
      </c>
      <c r="C708" s="9" t="s">
        <v>1605</v>
      </c>
      <c r="D708" s="9" t="s">
        <v>1606</v>
      </c>
      <c r="E708" s="9" t="s">
        <v>1607</v>
      </c>
      <c r="F708" s="10" t="s">
        <v>58</v>
      </c>
      <c r="G708" s="10" t="n">
        <v>40000</v>
      </c>
      <c r="H708" s="10" t="n">
        <v>40000</v>
      </c>
      <c r="I708" s="11" t="s">
        <v>839</v>
      </c>
      <c r="J708" s="9" t="s">
        <v>839</v>
      </c>
      <c r="K708" s="9" t="s">
        <v>6</v>
      </c>
      <c r="L708" s="9" t="s">
        <v>12</v>
      </c>
      <c r="M708" s="9" t="n">
        <v>0</v>
      </c>
      <c r="N708" s="9" t="n">
        <v>1974</v>
      </c>
      <c r="O708" s="9" t="n">
        <v>41974</v>
      </c>
    </row>
    <row r="709" customFormat="false" ht="17.25" hidden="false" customHeight="false" outlineLevel="0" collapsed="false">
      <c r="B709" s="9" t="n">
        <v>4216</v>
      </c>
      <c r="C709" s="9" t="s">
        <v>1608</v>
      </c>
      <c r="D709" s="9" t="s">
        <v>1007</v>
      </c>
      <c r="E709" s="9" t="s">
        <v>1609</v>
      </c>
      <c r="F709" s="10" t="s">
        <v>338</v>
      </c>
      <c r="G709" s="10" t="n">
        <v>9500</v>
      </c>
      <c r="H709" s="10" t="n">
        <v>9500</v>
      </c>
      <c r="I709" s="11" t="s">
        <v>799</v>
      </c>
      <c r="J709" s="9" t="s">
        <v>739</v>
      </c>
      <c r="K709" s="9" t="s">
        <v>10</v>
      </c>
      <c r="L709" s="9" t="s">
        <v>10</v>
      </c>
      <c r="M709" s="9" t="n">
        <v>406.125</v>
      </c>
      <c r="N709" s="9" t="n">
        <v>750.12</v>
      </c>
      <c r="O709" s="9" t="n">
        <v>10656.245</v>
      </c>
    </row>
    <row r="710" customFormat="false" ht="17.25" hidden="false" customHeight="false" outlineLevel="0" collapsed="false">
      <c r="B710" s="9" t="n">
        <v>4218</v>
      </c>
      <c r="C710" s="9" t="s">
        <v>1610</v>
      </c>
      <c r="D710" s="9" t="s">
        <v>701</v>
      </c>
      <c r="E710" s="9" t="s">
        <v>1611</v>
      </c>
      <c r="F710" s="10" t="s">
        <v>109</v>
      </c>
      <c r="G710" s="10" t="n">
        <v>16000</v>
      </c>
      <c r="H710" s="10" t="n">
        <v>16000</v>
      </c>
      <c r="I710" s="11" t="s">
        <v>688</v>
      </c>
      <c r="J710" s="9" t="s">
        <v>688</v>
      </c>
      <c r="K710" s="9" t="s">
        <v>10</v>
      </c>
      <c r="L710" s="9" t="s">
        <v>10</v>
      </c>
      <c r="M710" s="9" t="n">
        <v>684</v>
      </c>
      <c r="N710" s="9" t="n">
        <v>1263.36</v>
      </c>
      <c r="O710" s="9" t="n">
        <v>17947.36</v>
      </c>
    </row>
    <row r="711" customFormat="false" ht="17.25" hidden="false" customHeight="false" outlineLevel="0" collapsed="false">
      <c r="B711" s="9" t="n">
        <v>4934</v>
      </c>
      <c r="C711" s="9" t="s">
        <v>1612</v>
      </c>
      <c r="D711" s="9" t="s">
        <v>1613</v>
      </c>
      <c r="E711" s="9" t="s">
        <v>1614</v>
      </c>
      <c r="F711" s="10" t="n">
        <v>0</v>
      </c>
      <c r="G711" s="10" t="n">
        <v>8500</v>
      </c>
      <c r="H711" s="10" t="n">
        <v>5950</v>
      </c>
      <c r="I711" s="11" t="s">
        <v>905</v>
      </c>
      <c r="J711" s="9" t="s">
        <v>739</v>
      </c>
      <c r="K711" s="9" t="s">
        <v>10</v>
      </c>
      <c r="L711" s="9" t="s">
        <v>10</v>
      </c>
      <c r="M711" s="9" t="n">
        <v>254.3625</v>
      </c>
      <c r="N711" s="9" t="n">
        <v>469.812</v>
      </c>
      <c r="O711" s="9" t="n">
        <v>6674.1745</v>
      </c>
    </row>
    <row r="712" customFormat="false" ht="17.25" hidden="false" customHeight="false" outlineLevel="0" collapsed="false">
      <c r="B712" s="9" t="n">
        <v>4219</v>
      </c>
      <c r="C712" s="9" t="s">
        <v>1615</v>
      </c>
      <c r="D712" s="9" t="s">
        <v>1616</v>
      </c>
      <c r="E712" s="9" t="s">
        <v>505</v>
      </c>
      <c r="F712" s="10" t="s">
        <v>331</v>
      </c>
      <c r="G712" s="10" t="n">
        <v>14000</v>
      </c>
      <c r="H712" s="10" t="n">
        <v>14000</v>
      </c>
      <c r="I712" s="11" t="s">
        <v>688</v>
      </c>
      <c r="J712" s="9" t="s">
        <v>688</v>
      </c>
      <c r="K712" s="9" t="s">
        <v>7</v>
      </c>
      <c r="L712" s="9" t="s">
        <v>1600</v>
      </c>
      <c r="M712" s="9" t="n">
        <v>665</v>
      </c>
      <c r="N712" s="9" t="n">
        <v>1289.68</v>
      </c>
      <c r="O712" s="9" t="n">
        <v>15954.68</v>
      </c>
    </row>
    <row r="713" customFormat="false" ht="17.25" hidden="false" customHeight="false" outlineLevel="0" collapsed="false">
      <c r="B713" s="9" t="n">
        <v>4363</v>
      </c>
      <c r="C713" s="9" t="s">
        <v>1617</v>
      </c>
      <c r="D713" s="9" t="s">
        <v>1537</v>
      </c>
      <c r="E713" s="9" t="s">
        <v>1618</v>
      </c>
      <c r="F713" s="10" t="s">
        <v>67</v>
      </c>
      <c r="G713" s="10" t="n">
        <v>13000</v>
      </c>
      <c r="H713" s="10" t="n">
        <v>13000</v>
      </c>
      <c r="I713" s="11" t="s">
        <v>751</v>
      </c>
      <c r="J713" s="9" t="s">
        <v>752</v>
      </c>
      <c r="K713" s="9" t="s">
        <v>7</v>
      </c>
      <c r="L713" s="9" t="s">
        <v>7</v>
      </c>
      <c r="M713" s="9" t="n">
        <v>617.5</v>
      </c>
      <c r="N713" s="9" t="n">
        <v>1197.56</v>
      </c>
      <c r="O713" s="9" t="n">
        <v>14815.06</v>
      </c>
    </row>
    <row r="714" customFormat="false" ht="17.25" hidden="false" customHeight="false" outlineLevel="0" collapsed="false">
      <c r="B714" s="9" t="n">
        <v>4365</v>
      </c>
      <c r="C714" s="9" t="s">
        <v>1619</v>
      </c>
      <c r="D714" s="9" t="s">
        <v>1007</v>
      </c>
      <c r="E714" s="9" t="s">
        <v>1620</v>
      </c>
      <c r="F714" s="10" t="s">
        <v>338</v>
      </c>
      <c r="G714" s="10" t="n">
        <v>9000</v>
      </c>
      <c r="H714" s="10" t="n">
        <v>9000</v>
      </c>
      <c r="I714" s="11" t="s">
        <v>799</v>
      </c>
      <c r="J714" s="9" t="s">
        <v>739</v>
      </c>
      <c r="K714" s="9" t="s">
        <v>10</v>
      </c>
      <c r="L714" s="9" t="s">
        <v>10</v>
      </c>
      <c r="M714" s="9" t="n">
        <v>384.75</v>
      </c>
      <c r="N714" s="9" t="n">
        <v>710.64</v>
      </c>
      <c r="O714" s="9" t="n">
        <v>10095.39</v>
      </c>
    </row>
    <row r="715" customFormat="false" ht="17.25" hidden="false" customHeight="false" outlineLevel="0" collapsed="false">
      <c r="B715" s="9" t="n">
        <v>4370</v>
      </c>
      <c r="C715" s="9" t="s">
        <v>1621</v>
      </c>
      <c r="D715" s="9" t="s">
        <v>1537</v>
      </c>
      <c r="E715" s="9" t="s">
        <v>1622</v>
      </c>
      <c r="F715" s="10" t="s">
        <v>67</v>
      </c>
      <c r="G715" s="10" t="n">
        <v>21600</v>
      </c>
      <c r="H715" s="10" t="n">
        <v>21600</v>
      </c>
      <c r="I715" s="11" t="s">
        <v>751</v>
      </c>
      <c r="J715" s="9" t="s">
        <v>752</v>
      </c>
      <c r="K715" s="9" t="s">
        <v>7</v>
      </c>
      <c r="L715" s="9" t="s">
        <v>7</v>
      </c>
      <c r="M715" s="9" t="n">
        <v>0</v>
      </c>
      <c r="N715" s="9" t="n">
        <v>1974</v>
      </c>
      <c r="O715" s="9" t="n">
        <v>23574</v>
      </c>
    </row>
    <row r="716" customFormat="false" ht="17.25" hidden="false" customHeight="false" outlineLevel="0" collapsed="false">
      <c r="B716" s="9" t="n">
        <v>4371</v>
      </c>
      <c r="C716" s="9" t="s">
        <v>1623</v>
      </c>
      <c r="D716" s="9" t="s">
        <v>787</v>
      </c>
      <c r="E716" s="9" t="s">
        <v>510</v>
      </c>
      <c r="F716" s="10" t="s">
        <v>109</v>
      </c>
      <c r="G716" s="10" t="n">
        <v>15000</v>
      </c>
      <c r="H716" s="10" t="n">
        <v>15000</v>
      </c>
      <c r="I716" s="11" t="s">
        <v>699</v>
      </c>
      <c r="J716" s="9" t="s">
        <v>734</v>
      </c>
      <c r="K716" s="9" t="s">
        <v>8</v>
      </c>
      <c r="L716" s="9" t="s">
        <v>3</v>
      </c>
      <c r="M716" s="9" t="n">
        <v>641.25</v>
      </c>
      <c r="N716" s="9" t="n">
        <v>1184.4</v>
      </c>
      <c r="O716" s="9" t="n">
        <v>16825.65</v>
      </c>
    </row>
    <row r="717" customFormat="false" ht="17.25" hidden="false" customHeight="false" outlineLevel="0" collapsed="false">
      <c r="B717" s="9" t="n">
        <v>3582</v>
      </c>
      <c r="C717" s="9" t="s">
        <v>1624</v>
      </c>
      <c r="D717" s="9" t="s">
        <v>1625</v>
      </c>
      <c r="E717" s="9" t="s">
        <v>1626</v>
      </c>
      <c r="F717" s="10" t="s">
        <v>109</v>
      </c>
      <c r="G717" s="10" t="n">
        <v>14230</v>
      </c>
      <c r="H717" s="10" t="n">
        <v>14230</v>
      </c>
      <c r="I717" s="11" t="s">
        <v>699</v>
      </c>
      <c r="J717" s="9" t="s">
        <v>734</v>
      </c>
      <c r="K717" s="9" t="s">
        <v>8</v>
      </c>
      <c r="L717" s="9" t="s">
        <v>844</v>
      </c>
      <c r="M717" s="9" t="n">
        <v>608.3325</v>
      </c>
      <c r="N717" s="9" t="n">
        <v>1123.6008</v>
      </c>
      <c r="O717" s="9" t="n">
        <v>15961.9333</v>
      </c>
    </row>
    <row r="718" customFormat="false" ht="17.25" hidden="false" customHeight="false" outlineLevel="0" collapsed="false">
      <c r="B718" s="9" t="n">
        <v>4376</v>
      </c>
      <c r="C718" s="9" t="s">
        <v>1627</v>
      </c>
      <c r="D718" s="9" t="s">
        <v>1537</v>
      </c>
      <c r="E718" s="9" t="s">
        <v>1628</v>
      </c>
      <c r="F718" s="10" t="s">
        <v>67</v>
      </c>
      <c r="G718" s="10" t="n">
        <v>11000</v>
      </c>
      <c r="H718" s="10" t="n">
        <v>11000</v>
      </c>
      <c r="I718" s="11" t="s">
        <v>751</v>
      </c>
      <c r="J718" s="9" t="s">
        <v>752</v>
      </c>
      <c r="K718" s="9" t="s">
        <v>7</v>
      </c>
      <c r="L718" s="9" t="s">
        <v>7</v>
      </c>
      <c r="M718" s="9" t="n">
        <v>522.5</v>
      </c>
      <c r="N718" s="9" t="n">
        <v>1013.32</v>
      </c>
      <c r="O718" s="9" t="n">
        <v>12535.82</v>
      </c>
    </row>
    <row r="719" customFormat="false" ht="17.25" hidden="false" customHeight="false" outlineLevel="0" collapsed="false">
      <c r="B719" s="9" t="n">
        <v>4422</v>
      </c>
      <c r="C719" s="9" t="s">
        <v>1629</v>
      </c>
      <c r="D719" s="9" t="s">
        <v>1142</v>
      </c>
      <c r="E719" s="9" t="s">
        <v>1630</v>
      </c>
      <c r="F719" s="10" t="s">
        <v>67</v>
      </c>
      <c r="G719" s="10" t="n">
        <v>13500</v>
      </c>
      <c r="H719" s="10" t="n">
        <v>13050</v>
      </c>
      <c r="I719" s="11" t="s">
        <v>773</v>
      </c>
      <c r="J719" s="9" t="s">
        <v>773</v>
      </c>
      <c r="K719" s="9" t="s">
        <v>5</v>
      </c>
      <c r="L719" s="9" t="s">
        <v>5</v>
      </c>
      <c r="M719" s="9" t="n">
        <v>619.875</v>
      </c>
      <c r="N719" s="9" t="n">
        <v>1202.166</v>
      </c>
      <c r="O719" s="9" t="n">
        <v>14872.041</v>
      </c>
    </row>
    <row r="720" customFormat="false" ht="17.25" hidden="false" customHeight="false" outlineLevel="0" collapsed="false">
      <c r="B720" s="9" t="n">
        <v>4426</v>
      </c>
      <c r="C720" s="9" t="s">
        <v>1631</v>
      </c>
      <c r="D720" s="9" t="s">
        <v>1632</v>
      </c>
      <c r="E720" s="9" t="s">
        <v>613</v>
      </c>
      <c r="F720" s="10" t="s">
        <v>331</v>
      </c>
      <c r="G720" s="10" t="n">
        <v>12000</v>
      </c>
      <c r="H720" s="10" t="n">
        <v>12000</v>
      </c>
      <c r="I720" s="11" t="s">
        <v>751</v>
      </c>
      <c r="J720" s="9" t="s">
        <v>752</v>
      </c>
      <c r="K720" s="9" t="s">
        <v>10</v>
      </c>
      <c r="L720" s="9" t="s">
        <v>10</v>
      </c>
      <c r="M720" s="9" t="n">
        <v>513</v>
      </c>
      <c r="N720" s="9" t="n">
        <v>947.52</v>
      </c>
      <c r="O720" s="9" t="n">
        <v>13460.52</v>
      </c>
    </row>
    <row r="721" customFormat="false" ht="17.25" hidden="false" customHeight="false" outlineLevel="0" collapsed="false">
      <c r="B721" s="9" t="n">
        <v>4542</v>
      </c>
      <c r="C721" s="9" t="s">
        <v>1633</v>
      </c>
      <c r="D721" s="9" t="s">
        <v>1007</v>
      </c>
      <c r="E721" s="9" t="s">
        <v>1292</v>
      </c>
      <c r="F721" s="10" t="s">
        <v>338</v>
      </c>
      <c r="G721" s="10" t="n">
        <v>8000</v>
      </c>
      <c r="H721" s="10" t="n">
        <v>7867</v>
      </c>
      <c r="I721" s="11" t="s">
        <v>799</v>
      </c>
      <c r="J721" s="9" t="s">
        <v>739</v>
      </c>
      <c r="K721" s="9" t="s">
        <v>10</v>
      </c>
      <c r="L721" s="9" t="s">
        <v>10</v>
      </c>
      <c r="M721" s="9" t="n">
        <v>336.31425</v>
      </c>
      <c r="N721" s="9" t="n">
        <v>621.17832</v>
      </c>
      <c r="O721" s="9" t="n">
        <v>8824.49257</v>
      </c>
    </row>
    <row r="722" customFormat="false" ht="17.25" hidden="false" customHeight="false" outlineLevel="0" collapsed="false">
      <c r="B722" s="9" t="n">
        <v>4578</v>
      </c>
      <c r="C722" s="9" t="s">
        <v>1634</v>
      </c>
      <c r="D722" s="9" t="s">
        <v>1162</v>
      </c>
      <c r="E722" s="9" t="s">
        <v>73</v>
      </c>
      <c r="F722" s="10" t="s">
        <v>338</v>
      </c>
      <c r="G722" s="10" t="n">
        <v>15000</v>
      </c>
      <c r="H722" s="10" t="n">
        <v>15000</v>
      </c>
      <c r="I722" s="11" t="s">
        <v>773</v>
      </c>
      <c r="J722" s="9" t="s">
        <v>773</v>
      </c>
      <c r="K722" s="9" t="s">
        <v>10</v>
      </c>
      <c r="L722" s="9" t="s">
        <v>10</v>
      </c>
      <c r="M722" s="9" t="n">
        <v>641.25</v>
      </c>
      <c r="N722" s="9" t="n">
        <v>1184.4</v>
      </c>
      <c r="O722" s="9" t="n">
        <v>16825.65</v>
      </c>
    </row>
    <row r="723" customFormat="false" ht="17.25" hidden="false" customHeight="false" outlineLevel="0" collapsed="false">
      <c r="B723" s="9" t="n">
        <v>4941</v>
      </c>
      <c r="C723" s="9" t="s">
        <v>1635</v>
      </c>
      <c r="D723" s="9" t="s">
        <v>965</v>
      </c>
      <c r="E723" s="9" t="s">
        <v>1636</v>
      </c>
      <c r="F723" s="10" t="s">
        <v>87</v>
      </c>
      <c r="G723" s="10" t="n">
        <v>30000</v>
      </c>
      <c r="H723" s="10" t="n">
        <v>30000</v>
      </c>
      <c r="I723" s="11" t="s">
        <v>1478</v>
      </c>
      <c r="J723" s="9" t="s">
        <v>999</v>
      </c>
      <c r="K723" s="9" t="s">
        <v>10</v>
      </c>
      <c r="L723" s="9" t="s">
        <v>13</v>
      </c>
      <c r="M723" s="9" t="n">
        <v>0</v>
      </c>
      <c r="N723" s="9" t="n">
        <v>1974</v>
      </c>
      <c r="O723" s="9" t="n">
        <v>31974</v>
      </c>
    </row>
    <row r="724" customFormat="false" ht="17.25" hidden="false" customHeight="false" outlineLevel="0" collapsed="false">
      <c r="B724" s="9" t="n">
        <v>4436</v>
      </c>
      <c r="C724" s="9" t="s">
        <v>1637</v>
      </c>
      <c r="D724" s="9" t="s">
        <v>1638</v>
      </c>
      <c r="E724" s="9" t="s">
        <v>1639</v>
      </c>
      <c r="F724" s="10" t="s">
        <v>146</v>
      </c>
      <c r="G724" s="10" t="n">
        <v>77425</v>
      </c>
      <c r="H724" s="10" t="n">
        <v>77425</v>
      </c>
      <c r="I724" s="11" t="s">
        <v>1599</v>
      </c>
      <c r="J724" s="9" t="s">
        <v>760</v>
      </c>
      <c r="K724" s="9" t="s">
        <v>8</v>
      </c>
      <c r="L724" s="9" t="s">
        <v>1600</v>
      </c>
      <c r="M724" s="9" t="n">
        <v>0</v>
      </c>
      <c r="N724" s="9" t="n">
        <v>1974</v>
      </c>
      <c r="O724" s="9" t="n">
        <v>79399</v>
      </c>
    </row>
    <row r="725" customFormat="false" ht="17.25" hidden="false" customHeight="false" outlineLevel="0" collapsed="false">
      <c r="B725" s="9" t="n">
        <v>4441</v>
      </c>
      <c r="C725" s="9" t="s">
        <v>1640</v>
      </c>
      <c r="D725" s="9" t="s">
        <v>820</v>
      </c>
      <c r="E725" s="9" t="s">
        <v>1641</v>
      </c>
      <c r="F725" s="10" t="s">
        <v>61</v>
      </c>
      <c r="G725" s="10" t="n">
        <v>45000</v>
      </c>
      <c r="H725" s="10" t="n">
        <v>45000</v>
      </c>
      <c r="I725" s="11" t="s">
        <v>742</v>
      </c>
      <c r="J725" s="9" t="s">
        <v>743</v>
      </c>
      <c r="K725" s="9" t="s">
        <v>5</v>
      </c>
      <c r="L725" s="9" t="s">
        <v>5</v>
      </c>
      <c r="M725" s="9" t="n">
        <v>0</v>
      </c>
      <c r="N725" s="9" t="n">
        <v>1974</v>
      </c>
      <c r="O725" s="9" t="n">
        <v>46974</v>
      </c>
    </row>
    <row r="726" customFormat="false" ht="17.25" hidden="false" customHeight="false" outlineLevel="0" collapsed="false">
      <c r="B726" s="9" t="n">
        <v>4450</v>
      </c>
      <c r="C726" s="9" t="s">
        <v>1642</v>
      </c>
      <c r="D726" s="9" t="s">
        <v>851</v>
      </c>
      <c r="E726" s="9" t="s">
        <v>1643</v>
      </c>
      <c r="F726" s="10" t="s">
        <v>67</v>
      </c>
      <c r="G726" s="10" t="n">
        <v>20000</v>
      </c>
      <c r="H726" s="10" t="n">
        <v>20000</v>
      </c>
      <c r="I726" s="11" t="s">
        <v>1028</v>
      </c>
      <c r="J726" s="9" t="s">
        <v>1028</v>
      </c>
      <c r="K726" s="9" t="s">
        <v>7</v>
      </c>
      <c r="L726" s="9" t="s">
        <v>7</v>
      </c>
      <c r="M726" s="9" t="n">
        <v>950</v>
      </c>
      <c r="N726" s="9" t="n">
        <v>1842.4</v>
      </c>
      <c r="O726" s="9" t="n">
        <v>22792.4</v>
      </c>
    </row>
    <row r="727" customFormat="false" ht="17.25" hidden="false" customHeight="false" outlineLevel="0" collapsed="false">
      <c r="B727" s="9" t="n">
        <v>4451</v>
      </c>
      <c r="C727" s="9" t="s">
        <v>1644</v>
      </c>
      <c r="D727" s="9" t="s">
        <v>584</v>
      </c>
      <c r="E727" s="9" t="s">
        <v>1645</v>
      </c>
      <c r="F727" s="10" t="s">
        <v>338</v>
      </c>
      <c r="G727" s="10" t="n">
        <v>11000</v>
      </c>
      <c r="H727" s="10" t="n">
        <v>11000</v>
      </c>
      <c r="I727" s="11" t="s">
        <v>1086</v>
      </c>
      <c r="J727" s="9" t="s">
        <v>734</v>
      </c>
      <c r="K727" s="9" t="s">
        <v>3</v>
      </c>
      <c r="L727" s="9" t="s">
        <v>13</v>
      </c>
      <c r="M727" s="9" t="n">
        <v>470.25</v>
      </c>
      <c r="N727" s="9" t="n">
        <v>868.56</v>
      </c>
      <c r="O727" s="9" t="n">
        <v>12338.81</v>
      </c>
    </row>
    <row r="728" customFormat="false" ht="17.25" hidden="false" customHeight="false" outlineLevel="0" collapsed="false">
      <c r="B728" s="9" t="n">
        <v>4452</v>
      </c>
      <c r="C728" s="9" t="s">
        <v>1646</v>
      </c>
      <c r="D728" s="9" t="s">
        <v>787</v>
      </c>
      <c r="E728" s="9" t="s">
        <v>530</v>
      </c>
      <c r="F728" s="10" t="s">
        <v>109</v>
      </c>
      <c r="G728" s="10" t="n">
        <v>15000</v>
      </c>
      <c r="H728" s="10" t="n">
        <v>15000</v>
      </c>
      <c r="I728" s="11" t="s">
        <v>699</v>
      </c>
      <c r="J728" s="9" t="s">
        <v>734</v>
      </c>
      <c r="K728" s="9" t="s">
        <v>3</v>
      </c>
      <c r="L728" s="9" t="s">
        <v>3</v>
      </c>
      <c r="M728" s="9" t="n">
        <v>641.25</v>
      </c>
      <c r="N728" s="9" t="n">
        <v>1184.4</v>
      </c>
      <c r="O728" s="9" t="n">
        <v>16825.65</v>
      </c>
    </row>
    <row r="729" customFormat="false" ht="17.25" hidden="false" customHeight="false" outlineLevel="0" collapsed="false">
      <c r="B729" s="9" t="n">
        <v>4529</v>
      </c>
      <c r="C729" s="9" t="s">
        <v>1647</v>
      </c>
      <c r="D729" s="9" t="s">
        <v>584</v>
      </c>
      <c r="E729" s="9" t="s">
        <v>1648</v>
      </c>
      <c r="F729" s="10" t="s">
        <v>338</v>
      </c>
      <c r="G729" s="10" t="n">
        <v>9000</v>
      </c>
      <c r="H729" s="10" t="n">
        <v>9000</v>
      </c>
      <c r="I729" s="11" t="s">
        <v>905</v>
      </c>
      <c r="J729" s="9" t="s">
        <v>739</v>
      </c>
      <c r="K729" s="9" t="s">
        <v>3</v>
      </c>
      <c r="L729" s="9" t="s">
        <v>3</v>
      </c>
      <c r="M729" s="9" t="n">
        <v>384.75</v>
      </c>
      <c r="N729" s="9" t="n">
        <v>710.64</v>
      </c>
      <c r="O729" s="9" t="n">
        <v>10095.39</v>
      </c>
    </row>
    <row r="730" customFormat="false" ht="17.25" hidden="false" customHeight="false" outlineLevel="0" collapsed="false">
      <c r="B730" s="9" t="n">
        <v>4530</v>
      </c>
      <c r="C730" s="9" t="s">
        <v>1649</v>
      </c>
      <c r="D730" s="9" t="s">
        <v>584</v>
      </c>
      <c r="E730" s="9" t="s">
        <v>1648</v>
      </c>
      <c r="F730" s="10" t="s">
        <v>338</v>
      </c>
      <c r="G730" s="10" t="n">
        <v>10500</v>
      </c>
      <c r="H730" s="10" t="n">
        <v>10500</v>
      </c>
      <c r="I730" s="11" t="s">
        <v>905</v>
      </c>
      <c r="J730" s="9" t="s">
        <v>739</v>
      </c>
      <c r="K730" s="9" t="s">
        <v>3</v>
      </c>
      <c r="L730" s="9" t="s">
        <v>3</v>
      </c>
      <c r="M730" s="9" t="n">
        <v>448.875</v>
      </c>
      <c r="N730" s="9" t="n">
        <v>829.08</v>
      </c>
      <c r="O730" s="9" t="n">
        <v>11777.955</v>
      </c>
    </row>
    <row r="731" customFormat="false" ht="17.25" hidden="false" customHeight="false" outlineLevel="0" collapsed="false">
      <c r="B731" s="9" t="n">
        <v>4482</v>
      </c>
      <c r="C731" s="9" t="s">
        <v>1650</v>
      </c>
      <c r="D731" s="9" t="s">
        <v>704</v>
      </c>
      <c r="E731" s="9" t="s">
        <v>1651</v>
      </c>
      <c r="F731" s="10" t="s">
        <v>299</v>
      </c>
      <c r="G731" s="10" t="n">
        <v>20000</v>
      </c>
      <c r="H731" s="10" t="n">
        <v>20000</v>
      </c>
      <c r="I731" s="11" t="s">
        <v>1218</v>
      </c>
      <c r="J731" s="9" t="s">
        <v>1065</v>
      </c>
      <c r="K731" s="9" t="s">
        <v>6</v>
      </c>
      <c r="L731" s="9" t="s">
        <v>13</v>
      </c>
      <c r="M731" s="9" t="n">
        <v>855</v>
      </c>
      <c r="N731" s="9" t="n">
        <v>1579.2</v>
      </c>
      <c r="O731" s="9" t="n">
        <v>22434.2</v>
      </c>
    </row>
    <row r="732" customFormat="false" ht="17.25" hidden="false" customHeight="false" outlineLevel="0" collapsed="false">
      <c r="B732" s="9" t="n">
        <v>4483</v>
      </c>
      <c r="C732" s="9" t="s">
        <v>1652</v>
      </c>
      <c r="D732" s="9" t="s">
        <v>1653</v>
      </c>
      <c r="E732" s="9" t="s">
        <v>548</v>
      </c>
      <c r="F732" s="10" t="s">
        <v>299</v>
      </c>
      <c r="G732" s="10" t="n">
        <v>22000</v>
      </c>
      <c r="H732" s="10" t="n">
        <v>22000</v>
      </c>
      <c r="I732" s="11" t="s">
        <v>742</v>
      </c>
      <c r="J732" s="9" t="s">
        <v>743</v>
      </c>
      <c r="K732" s="9" t="s">
        <v>6</v>
      </c>
      <c r="L732" s="9" t="s">
        <v>1056</v>
      </c>
      <c r="M732" s="9" t="n">
        <v>940.5</v>
      </c>
      <c r="N732" s="9" t="n">
        <v>1737.12</v>
      </c>
      <c r="O732" s="9" t="n">
        <v>24677.62</v>
      </c>
    </row>
    <row r="733" customFormat="false" ht="17.25" hidden="false" customHeight="false" outlineLevel="0" collapsed="false">
      <c r="B733" s="9" t="n">
        <v>4491</v>
      </c>
      <c r="C733" s="9" t="s">
        <v>1654</v>
      </c>
      <c r="D733" s="9" t="s">
        <v>1655</v>
      </c>
      <c r="E733" s="9" t="s">
        <v>705</v>
      </c>
      <c r="F733" s="10" t="s">
        <v>58</v>
      </c>
      <c r="G733" s="10" t="n">
        <v>28540</v>
      </c>
      <c r="H733" s="10" t="n">
        <v>28540</v>
      </c>
      <c r="I733" s="11" t="s">
        <v>1656</v>
      </c>
      <c r="J733" s="9" t="s">
        <v>1065</v>
      </c>
      <c r="K733" s="9" t="s">
        <v>6</v>
      </c>
      <c r="L733" s="9" t="s">
        <v>12</v>
      </c>
      <c r="M733" s="9" t="n">
        <v>0</v>
      </c>
      <c r="N733" s="9" t="n">
        <v>1974</v>
      </c>
      <c r="O733" s="9" t="n">
        <v>30514</v>
      </c>
    </row>
    <row r="734" customFormat="false" ht="17.25" hidden="false" customHeight="false" outlineLevel="0" collapsed="false">
      <c r="B734" s="9" t="n">
        <v>4550</v>
      </c>
      <c r="C734" s="9" t="s">
        <v>1657</v>
      </c>
      <c r="D734" s="9" t="s">
        <v>965</v>
      </c>
      <c r="E734" s="9" t="s">
        <v>1658</v>
      </c>
      <c r="F734" s="10" t="s">
        <v>87</v>
      </c>
      <c r="G734" s="10" t="n">
        <v>30000</v>
      </c>
      <c r="H734" s="10" t="n">
        <v>30000</v>
      </c>
      <c r="I734" s="11" t="s">
        <v>1656</v>
      </c>
      <c r="J734" s="9" t="s">
        <v>1065</v>
      </c>
      <c r="K734" s="9" t="s">
        <v>6</v>
      </c>
      <c r="L734" s="9" t="s">
        <v>13</v>
      </c>
      <c r="M734" s="9" t="n">
        <v>0</v>
      </c>
      <c r="N734" s="9" t="n">
        <v>1974</v>
      </c>
      <c r="O734" s="9" t="n">
        <v>31974</v>
      </c>
    </row>
    <row r="735" customFormat="false" ht="17.25" hidden="false" customHeight="false" outlineLevel="0" collapsed="false">
      <c r="B735" s="9" t="n">
        <v>4561</v>
      </c>
      <c r="C735" s="9" t="s">
        <v>1659</v>
      </c>
      <c r="D735" s="9" t="s">
        <v>965</v>
      </c>
      <c r="E735" s="9" t="s">
        <v>1660</v>
      </c>
      <c r="F735" s="10" t="s">
        <v>87</v>
      </c>
      <c r="G735" s="10" t="n">
        <v>25000</v>
      </c>
      <c r="H735" s="10" t="n">
        <v>25000</v>
      </c>
      <c r="I735" s="11" t="s">
        <v>1456</v>
      </c>
      <c r="J735" s="9" t="s">
        <v>760</v>
      </c>
      <c r="K735" s="9" t="s">
        <v>6</v>
      </c>
      <c r="L735" s="9" t="s">
        <v>1661</v>
      </c>
      <c r="M735" s="9" t="n">
        <v>0</v>
      </c>
      <c r="N735" s="9" t="n">
        <v>1974</v>
      </c>
      <c r="O735" s="9" t="n">
        <v>26974</v>
      </c>
    </row>
    <row r="736" customFormat="false" ht="17.25" hidden="false" customHeight="false" outlineLevel="0" collapsed="false">
      <c r="B736" s="9" t="n">
        <v>4500</v>
      </c>
      <c r="C736" s="9" t="s">
        <v>1662</v>
      </c>
      <c r="D736" s="9" t="s">
        <v>1007</v>
      </c>
      <c r="E736" s="9" t="s">
        <v>548</v>
      </c>
      <c r="F736" s="10" t="s">
        <v>338</v>
      </c>
      <c r="G736" s="10" t="n">
        <v>16000</v>
      </c>
      <c r="H736" s="10" t="n">
        <v>16000</v>
      </c>
      <c r="I736" s="11" t="s">
        <v>984</v>
      </c>
      <c r="J736" s="9" t="s">
        <v>743</v>
      </c>
      <c r="K736" s="9" t="s">
        <v>7</v>
      </c>
      <c r="L736" s="9" t="s">
        <v>7</v>
      </c>
      <c r="M736" s="9" t="n">
        <v>760</v>
      </c>
      <c r="N736" s="9" t="n">
        <v>1473.92</v>
      </c>
      <c r="O736" s="9" t="n">
        <v>18233.92</v>
      </c>
    </row>
    <row r="737" customFormat="false" ht="17.25" hidden="false" customHeight="false" outlineLevel="0" collapsed="false">
      <c r="B737" s="9" t="n">
        <v>4536</v>
      </c>
      <c r="C737" s="9" t="s">
        <v>1663</v>
      </c>
      <c r="D737" s="9" t="s">
        <v>797</v>
      </c>
      <c r="E737" s="9" t="s">
        <v>71</v>
      </c>
      <c r="F737" s="10" t="s">
        <v>299</v>
      </c>
      <c r="G737" s="10" t="n">
        <v>21500</v>
      </c>
      <c r="H737" s="10" t="n">
        <v>21500</v>
      </c>
      <c r="I737" s="11" t="s">
        <v>759</v>
      </c>
      <c r="J737" s="9" t="s">
        <v>760</v>
      </c>
      <c r="K737" s="9" t="s">
        <v>7</v>
      </c>
      <c r="L737" s="9" t="s">
        <v>7</v>
      </c>
      <c r="M737" s="9" t="n">
        <v>0</v>
      </c>
      <c r="N737" s="9" t="n">
        <v>1974</v>
      </c>
      <c r="O737" s="9" t="n">
        <v>23474</v>
      </c>
    </row>
    <row r="738" customFormat="false" ht="17.25" hidden="false" customHeight="false" outlineLevel="0" collapsed="false">
      <c r="B738" s="9" t="n">
        <v>4537</v>
      </c>
      <c r="C738" s="9" t="s">
        <v>1664</v>
      </c>
      <c r="D738" s="9" t="s">
        <v>1655</v>
      </c>
      <c r="E738" s="9" t="s">
        <v>1292</v>
      </c>
      <c r="F738" s="10" t="s">
        <v>64</v>
      </c>
      <c r="G738" s="10" t="n">
        <v>52000</v>
      </c>
      <c r="H738" s="10" t="n">
        <v>52000</v>
      </c>
      <c r="I738" s="11" t="s">
        <v>742</v>
      </c>
      <c r="J738" s="9" t="s">
        <v>743</v>
      </c>
      <c r="K738" s="9" t="s">
        <v>7</v>
      </c>
      <c r="L738" s="9" t="s">
        <v>7</v>
      </c>
      <c r="M738" s="9" t="n">
        <v>0</v>
      </c>
      <c r="N738" s="9" t="n">
        <v>1974</v>
      </c>
      <c r="O738" s="9" t="n">
        <v>53974</v>
      </c>
    </row>
    <row r="739" customFormat="false" ht="17.25" hidden="false" customHeight="false" outlineLevel="0" collapsed="false">
      <c r="B739" s="9" t="n">
        <v>4551</v>
      </c>
      <c r="C739" s="9" t="s">
        <v>1665</v>
      </c>
      <c r="D739" s="9" t="s">
        <v>1306</v>
      </c>
      <c r="E739" s="9" t="s">
        <v>1658</v>
      </c>
      <c r="F739" s="10" t="s">
        <v>331</v>
      </c>
      <c r="G739" s="10" t="n">
        <v>16500</v>
      </c>
      <c r="H739" s="10" t="n">
        <v>16500</v>
      </c>
      <c r="I739" s="11" t="s">
        <v>773</v>
      </c>
      <c r="J739" s="9" t="s">
        <v>773</v>
      </c>
      <c r="K739" s="9" t="s">
        <v>7</v>
      </c>
      <c r="L739" s="9" t="s">
        <v>7</v>
      </c>
      <c r="M739" s="9" t="n">
        <v>783.75</v>
      </c>
      <c r="N739" s="9" t="n">
        <v>1519.98</v>
      </c>
      <c r="O739" s="9" t="n">
        <v>18803.73</v>
      </c>
    </row>
    <row r="740" customFormat="false" ht="17.25" hidden="false" customHeight="false" outlineLevel="0" collapsed="false">
      <c r="B740" s="9" t="n">
        <v>4918</v>
      </c>
      <c r="C740" s="9" t="s">
        <v>1666</v>
      </c>
      <c r="D740" s="9" t="s">
        <v>965</v>
      </c>
      <c r="E740" s="9" t="s">
        <v>1667</v>
      </c>
      <c r="F740" s="10" t="s">
        <v>87</v>
      </c>
      <c r="G740" s="10" t="n">
        <v>25000</v>
      </c>
      <c r="H740" s="10" t="n">
        <v>25000</v>
      </c>
      <c r="I740" s="11" t="s">
        <v>742</v>
      </c>
      <c r="J740" s="9" t="s">
        <v>743</v>
      </c>
      <c r="K740" s="9" t="s">
        <v>7</v>
      </c>
      <c r="L740" s="9" t="s">
        <v>7</v>
      </c>
      <c r="M740" s="9" t="n">
        <v>0</v>
      </c>
      <c r="N740" s="9" t="n">
        <v>1974</v>
      </c>
      <c r="O740" s="9" t="n">
        <v>26974</v>
      </c>
    </row>
    <row r="741" customFormat="false" ht="17.25" hidden="false" customHeight="false" outlineLevel="0" collapsed="false">
      <c r="B741" s="9" t="s">
        <v>1668</v>
      </c>
      <c r="C741" s="9" t="s">
        <v>1669</v>
      </c>
      <c r="D741" s="9" t="s">
        <v>787</v>
      </c>
      <c r="E741" s="9" t="s">
        <v>1670</v>
      </c>
      <c r="F741" s="10" t="s">
        <v>299</v>
      </c>
      <c r="G741" s="10" t="n">
        <v>19250</v>
      </c>
      <c r="H741" s="10" t="n">
        <v>19250</v>
      </c>
      <c r="I741" s="11" t="s">
        <v>699</v>
      </c>
      <c r="J741" s="9" t="s">
        <v>734</v>
      </c>
      <c r="K741" s="9" t="s">
        <v>4</v>
      </c>
      <c r="L741" s="9" t="s">
        <v>4</v>
      </c>
      <c r="M741" s="9" t="n">
        <v>822.9375</v>
      </c>
      <c r="N741" s="9" t="n">
        <v>1519.98</v>
      </c>
      <c r="O741" s="9" t="n">
        <v>21592.9175</v>
      </c>
    </row>
    <row r="742" customFormat="false" ht="17.25" hidden="false" customHeight="false" outlineLevel="0" collapsed="false">
      <c r="B742" s="9" t="s">
        <v>1671</v>
      </c>
      <c r="C742" s="9" t="s">
        <v>1672</v>
      </c>
      <c r="D742" s="9" t="s">
        <v>787</v>
      </c>
      <c r="E742" s="9" t="s">
        <v>265</v>
      </c>
      <c r="F742" s="10" t="s">
        <v>109</v>
      </c>
      <c r="G742" s="10" t="n">
        <v>14560</v>
      </c>
      <c r="H742" s="10" t="n">
        <v>14560</v>
      </c>
      <c r="I742" s="11" t="s">
        <v>759</v>
      </c>
      <c r="J742" s="9" t="s">
        <v>760</v>
      </c>
      <c r="K742" s="9" t="s">
        <v>4</v>
      </c>
      <c r="L742" s="9" t="s">
        <v>4</v>
      </c>
      <c r="M742" s="9" t="n">
        <v>622.44</v>
      </c>
      <c r="N742" s="9" t="n">
        <v>1149.6576</v>
      </c>
      <c r="O742" s="9" t="n">
        <v>16332.0976</v>
      </c>
    </row>
    <row r="743" customFormat="false" ht="17.25" hidden="false" customHeight="false" outlineLevel="0" collapsed="false">
      <c r="B743" s="9" t="s">
        <v>1673</v>
      </c>
      <c r="C743" s="9" t="s">
        <v>1674</v>
      </c>
      <c r="D743" s="9" t="s">
        <v>849</v>
      </c>
      <c r="E743" s="9" t="s">
        <v>1675</v>
      </c>
      <c r="F743" s="10" t="s">
        <v>299</v>
      </c>
      <c r="G743" s="10" t="n">
        <v>23240</v>
      </c>
      <c r="H743" s="10" t="n">
        <v>23240</v>
      </c>
      <c r="I743" s="11" t="s">
        <v>773</v>
      </c>
      <c r="J743" s="9" t="s">
        <v>774</v>
      </c>
      <c r="K743" s="9" t="s">
        <v>4</v>
      </c>
      <c r="L743" s="9" t="s">
        <v>4</v>
      </c>
      <c r="M743" s="9" t="n">
        <v>993.51</v>
      </c>
      <c r="N743" s="9" t="n">
        <v>1835.0304</v>
      </c>
      <c r="O743" s="9" t="n">
        <v>26068.5404</v>
      </c>
    </row>
    <row r="744" customFormat="false" ht="17.25" hidden="false" customHeight="false" outlineLevel="0" collapsed="false">
      <c r="B744" s="9" t="s">
        <v>1676</v>
      </c>
      <c r="C744" s="9" t="s">
        <v>1677</v>
      </c>
      <c r="D744" s="9" t="s">
        <v>1007</v>
      </c>
      <c r="E744" s="9" t="s">
        <v>1253</v>
      </c>
      <c r="F744" s="10" t="s">
        <v>109</v>
      </c>
      <c r="G744" s="10" t="n">
        <v>11720</v>
      </c>
      <c r="H744" s="10" t="n">
        <v>11720</v>
      </c>
      <c r="I744" s="11" t="s">
        <v>1678</v>
      </c>
      <c r="J744" s="9" t="s">
        <v>743</v>
      </c>
      <c r="K744" s="9" t="s">
        <v>4</v>
      </c>
      <c r="L744" s="9" t="s">
        <v>4</v>
      </c>
      <c r="M744" s="9" t="n">
        <v>501.03</v>
      </c>
      <c r="N744" s="9" t="n">
        <v>925.4112</v>
      </c>
      <c r="O744" s="9" t="n">
        <v>13146.4412</v>
      </c>
    </row>
    <row r="745" customFormat="false" ht="17.25" hidden="false" customHeight="false" outlineLevel="0" collapsed="false">
      <c r="B745" s="9" t="s">
        <v>1679</v>
      </c>
      <c r="C745" s="9" t="s">
        <v>1680</v>
      </c>
      <c r="D745" s="9" t="s">
        <v>1110</v>
      </c>
      <c r="E745" s="9" t="s">
        <v>1267</v>
      </c>
      <c r="F745" s="10" t="s">
        <v>299</v>
      </c>
      <c r="G745" s="10" t="n">
        <v>27770</v>
      </c>
      <c r="H745" s="10" t="n">
        <v>27770</v>
      </c>
      <c r="I745" s="11" t="s">
        <v>773</v>
      </c>
      <c r="J745" s="9" t="s">
        <v>774</v>
      </c>
      <c r="K745" s="9" t="s">
        <v>4</v>
      </c>
      <c r="L745" s="9" t="s">
        <v>4</v>
      </c>
      <c r="M745" s="9" t="n">
        <v>0</v>
      </c>
      <c r="N745" s="9" t="n">
        <v>1974</v>
      </c>
      <c r="O745" s="9" t="n">
        <v>29744</v>
      </c>
    </row>
    <row r="746" customFormat="false" ht="17.25" hidden="false" customHeight="false" outlineLevel="0" collapsed="false">
      <c r="B746" s="9" t="n">
        <v>4582</v>
      </c>
      <c r="C746" s="9" t="s">
        <v>1681</v>
      </c>
      <c r="D746" s="9" t="s">
        <v>1682</v>
      </c>
      <c r="E746" s="9" t="s">
        <v>73</v>
      </c>
      <c r="F746" s="10" t="s">
        <v>331</v>
      </c>
      <c r="G746" s="10" t="n">
        <v>9000</v>
      </c>
      <c r="H746" s="10" t="n">
        <v>8580</v>
      </c>
      <c r="I746" s="11" t="s">
        <v>759</v>
      </c>
      <c r="J746" s="9" t="s">
        <v>760</v>
      </c>
      <c r="K746" s="9" t="s">
        <v>4</v>
      </c>
      <c r="L746" s="9" t="s">
        <v>17</v>
      </c>
      <c r="M746" s="9" t="n">
        <v>366.795</v>
      </c>
      <c r="N746" s="9" t="n">
        <v>677.4768</v>
      </c>
      <c r="O746" s="9" t="n">
        <v>9624.2718</v>
      </c>
    </row>
    <row r="747" customFormat="false" ht="17.25" hidden="false" customHeight="false" outlineLevel="0" collapsed="false">
      <c r="B747" s="9" t="s">
        <v>1683</v>
      </c>
      <c r="C747" s="9" t="s">
        <v>1684</v>
      </c>
      <c r="D747" s="9" t="s">
        <v>1685</v>
      </c>
      <c r="E747" s="9" t="s">
        <v>1686</v>
      </c>
      <c r="F747" s="10" t="s">
        <v>1032</v>
      </c>
      <c r="G747" s="10" t="n">
        <v>176800</v>
      </c>
      <c r="H747" s="10" t="n">
        <v>176800</v>
      </c>
      <c r="I747" s="11" t="s">
        <v>889</v>
      </c>
      <c r="J747" s="9" t="s">
        <v>734</v>
      </c>
      <c r="K747" s="9" t="s">
        <v>4</v>
      </c>
      <c r="L747" s="9" t="s">
        <v>13</v>
      </c>
      <c r="M747" s="9" t="n">
        <v>0</v>
      </c>
      <c r="N747" s="9" t="n">
        <v>1974</v>
      </c>
      <c r="O747" s="9" t="n">
        <v>178774</v>
      </c>
    </row>
    <row r="748" customFormat="false" ht="17.25" hidden="false" customHeight="false" outlineLevel="0" collapsed="false">
      <c r="B748" s="9" t="s">
        <v>1683</v>
      </c>
      <c r="C748" s="9" t="s">
        <v>1687</v>
      </c>
      <c r="D748" s="9" t="s">
        <v>1688</v>
      </c>
      <c r="E748" s="9" t="s">
        <v>1689</v>
      </c>
      <c r="F748" s="10" t="s">
        <v>146</v>
      </c>
      <c r="G748" s="10" t="n">
        <v>122340</v>
      </c>
      <c r="H748" s="10" t="n">
        <v>122340</v>
      </c>
      <c r="I748" s="11" t="s">
        <v>925</v>
      </c>
      <c r="J748" s="9" t="s">
        <v>926</v>
      </c>
      <c r="K748" s="9" t="s">
        <v>7</v>
      </c>
      <c r="L748" s="9" t="s">
        <v>13</v>
      </c>
      <c r="M748" s="9" t="n">
        <v>0</v>
      </c>
      <c r="N748" s="9" t="n">
        <v>1974</v>
      </c>
      <c r="O748" s="9" t="n">
        <v>124314</v>
      </c>
    </row>
    <row r="749" customFormat="false" ht="17.25" hidden="false" customHeight="false" outlineLevel="0" collapsed="false">
      <c r="B749" s="9" t="n">
        <v>4123</v>
      </c>
      <c r="C749" s="9" t="s">
        <v>1690</v>
      </c>
      <c r="D749" s="9" t="s">
        <v>666</v>
      </c>
      <c r="E749" s="9" t="s">
        <v>463</v>
      </c>
      <c r="F749" s="10" t="s">
        <v>338</v>
      </c>
      <c r="G749" s="10" t="n">
        <v>12500</v>
      </c>
      <c r="H749" s="10" t="n">
        <v>12500</v>
      </c>
      <c r="I749" s="11" t="s">
        <v>799</v>
      </c>
      <c r="J749" s="9" t="s">
        <v>739</v>
      </c>
      <c r="K749" s="9" t="s">
        <v>3</v>
      </c>
      <c r="L749" s="9" t="s">
        <v>844</v>
      </c>
      <c r="M749" s="9" t="n">
        <v>534.375</v>
      </c>
      <c r="N749" s="9" t="n">
        <v>987</v>
      </c>
      <c r="O749" s="9" t="n">
        <v>14021.375</v>
      </c>
    </row>
    <row r="750" customFormat="false" ht="17.25" hidden="false" customHeight="false" outlineLevel="0" collapsed="false">
      <c r="B750" s="9" t="n">
        <v>3341</v>
      </c>
      <c r="C750" s="9" t="s">
        <v>1691</v>
      </c>
      <c r="D750" s="9" t="s">
        <v>584</v>
      </c>
      <c r="E750" s="9" t="s">
        <v>721</v>
      </c>
      <c r="F750" s="10" t="s">
        <v>109</v>
      </c>
      <c r="G750" s="10" t="n">
        <v>15000</v>
      </c>
      <c r="H750" s="10" t="n">
        <v>15000</v>
      </c>
      <c r="I750" s="11" t="s">
        <v>688</v>
      </c>
      <c r="J750" s="9" t="s">
        <v>688</v>
      </c>
      <c r="K750" s="9" t="s">
        <v>3</v>
      </c>
      <c r="L750" s="9" t="s">
        <v>13</v>
      </c>
      <c r="M750" s="9" t="n">
        <v>641.25</v>
      </c>
      <c r="N750" s="9" t="n">
        <v>1184.4</v>
      </c>
      <c r="O750" s="9" t="n">
        <v>16825.65</v>
      </c>
    </row>
    <row r="751" customFormat="false" ht="17.25" hidden="false" customHeight="false" outlineLevel="0" collapsed="false">
      <c r="B751" s="9" t="s">
        <v>1683</v>
      </c>
      <c r="C751" s="9" t="s">
        <v>1692</v>
      </c>
      <c r="D751" s="9" t="s">
        <v>1693</v>
      </c>
      <c r="E751" s="9" t="s">
        <v>1694</v>
      </c>
      <c r="F751" s="10" t="s">
        <v>561</v>
      </c>
      <c r="G751" s="10" t="n">
        <v>247780</v>
      </c>
      <c r="H751" s="10" t="n">
        <v>247780</v>
      </c>
      <c r="I751" s="11" t="s">
        <v>742</v>
      </c>
      <c r="J751" s="9" t="s">
        <v>743</v>
      </c>
      <c r="K751" s="9" t="s">
        <v>8</v>
      </c>
      <c r="L751" s="9" t="s">
        <v>13</v>
      </c>
      <c r="M751" s="9" t="n">
        <v>0</v>
      </c>
      <c r="N751" s="9" t="n">
        <v>1974</v>
      </c>
      <c r="O751" s="9" t="n">
        <v>249754</v>
      </c>
    </row>
    <row r="752" customFormat="false" ht="17.25" hidden="false" customHeight="false" outlineLevel="0" collapsed="false">
      <c r="B752" s="9" t="s">
        <v>1683</v>
      </c>
      <c r="C752" s="9" t="s">
        <v>1695</v>
      </c>
      <c r="D752" s="9" t="s">
        <v>1696</v>
      </c>
      <c r="E752" s="9" t="s">
        <v>1697</v>
      </c>
      <c r="F752" s="10" t="s">
        <v>1698</v>
      </c>
      <c r="G752" s="10" t="n">
        <v>100000</v>
      </c>
      <c r="H752" s="10" t="n">
        <v>100000</v>
      </c>
      <c r="I752" s="11" t="s">
        <v>730</v>
      </c>
      <c r="J752" s="9" t="s">
        <v>730</v>
      </c>
      <c r="K752" s="9" t="s">
        <v>8</v>
      </c>
      <c r="L752" s="9" t="s">
        <v>13</v>
      </c>
      <c r="M752" s="9" t="n">
        <v>0</v>
      </c>
      <c r="N752" s="9" t="n">
        <v>1974</v>
      </c>
      <c r="O752" s="9" t="n">
        <v>101974</v>
      </c>
    </row>
    <row r="753" customFormat="false" ht="17.25" hidden="false" customHeight="false" outlineLevel="0" collapsed="false">
      <c r="B753" s="9" t="s">
        <v>1683</v>
      </c>
      <c r="C753" s="9" t="s">
        <v>1699</v>
      </c>
      <c r="D753" s="9" t="s">
        <v>1700</v>
      </c>
      <c r="E753" s="9" t="s">
        <v>1263</v>
      </c>
      <c r="F753" s="10" t="s">
        <v>561</v>
      </c>
      <c r="G753" s="10" t="n">
        <v>409644</v>
      </c>
      <c r="H753" s="10" t="n">
        <v>409644</v>
      </c>
      <c r="I753" s="11" t="s">
        <v>1701</v>
      </c>
      <c r="J753" s="9" t="s">
        <v>760</v>
      </c>
      <c r="K753" s="9" t="s">
        <v>8</v>
      </c>
      <c r="L753" s="9" t="s">
        <v>13</v>
      </c>
      <c r="M753" s="9" t="n">
        <v>0</v>
      </c>
      <c r="N753" s="9" t="n">
        <v>1974</v>
      </c>
      <c r="O753" s="9" t="n">
        <v>411618</v>
      </c>
    </row>
    <row r="754" customFormat="false" ht="17.25" hidden="false" customHeight="false" outlineLevel="0" collapsed="false">
      <c r="B754" s="9" t="n">
        <v>4573</v>
      </c>
      <c r="C754" s="9" t="s">
        <v>1702</v>
      </c>
      <c r="D754" s="9" t="s">
        <v>797</v>
      </c>
      <c r="E754" s="9" t="s">
        <v>73</v>
      </c>
      <c r="F754" s="10" t="s">
        <v>299</v>
      </c>
      <c r="G754" s="10" t="n">
        <v>22000</v>
      </c>
      <c r="H754" s="10" t="n">
        <v>22000</v>
      </c>
      <c r="I754" s="11" t="s">
        <v>1703</v>
      </c>
      <c r="J754" s="9" t="s">
        <v>1065</v>
      </c>
      <c r="K754" s="9" t="s">
        <v>1451</v>
      </c>
      <c r="L754" s="9" t="s">
        <v>12</v>
      </c>
      <c r="M754" s="9" t="n">
        <v>940.5</v>
      </c>
      <c r="N754" s="9" t="n">
        <v>1737.12</v>
      </c>
      <c r="O754" s="9" t="n">
        <v>24677.62</v>
      </c>
    </row>
    <row r="755" customFormat="false" ht="17.25" hidden="false" customHeight="false" outlineLevel="0" collapsed="false">
      <c r="H755" s="10" t="n">
        <f aca="false">SUM(H2:H754)</f>
        <v>19879552.37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9.14453125" defaultRowHeight="15.8" zeroHeight="false" outlineLevelRow="0" outlineLevelCol="0"/>
  <cols>
    <col collapsed="false" customWidth="false" hidden="false" outlineLevel="0" max="1024" min="1" style="48" width="9.14"/>
  </cols>
  <sheetData>
    <row r="1" customFormat="false" ht="15.8" hidden="false" customHeight="false" outlineLevel="0" collapsed="false">
      <c r="A1" s="49" t="s">
        <v>1704</v>
      </c>
      <c r="B1" s="50" t="s">
        <v>1705</v>
      </c>
    </row>
    <row r="2" customFormat="false" ht="17" hidden="false" customHeight="false" outlineLevel="0" collapsed="false">
      <c r="A2" s="51" t="n">
        <v>6</v>
      </c>
      <c r="B2" s="52" t="n">
        <v>12</v>
      </c>
    </row>
    <row r="3" customFormat="false" ht="17" hidden="false" customHeight="false" outlineLevel="0" collapsed="false">
      <c r="A3" s="51" t="n">
        <v>10</v>
      </c>
      <c r="B3" s="52" t="n">
        <v>12</v>
      </c>
    </row>
    <row r="4" customFormat="false" ht="17" hidden="false" customHeight="false" outlineLevel="0" collapsed="false">
      <c r="A4" s="51" t="n">
        <v>11</v>
      </c>
      <c r="B4" s="52" t="n">
        <v>12</v>
      </c>
    </row>
    <row r="5" customFormat="false" ht="17" hidden="false" customHeight="false" outlineLevel="0" collapsed="false">
      <c r="A5" s="51" t="n">
        <v>16</v>
      </c>
      <c r="B5" s="52" t="n">
        <v>12</v>
      </c>
    </row>
    <row r="6" customFormat="false" ht="17" hidden="false" customHeight="false" outlineLevel="0" collapsed="false">
      <c r="A6" s="51" t="n">
        <v>17</v>
      </c>
      <c r="B6" s="52" t="n">
        <v>12</v>
      </c>
    </row>
    <row r="7" customFormat="false" ht="17" hidden="false" customHeight="false" outlineLevel="0" collapsed="false">
      <c r="A7" s="51" t="n">
        <v>18</v>
      </c>
      <c r="B7" s="52" t="n">
        <v>12</v>
      </c>
    </row>
    <row r="8" customFormat="false" ht="17" hidden="false" customHeight="false" outlineLevel="0" collapsed="false">
      <c r="A8" s="51" t="n">
        <v>19</v>
      </c>
      <c r="B8" s="52" t="n">
        <v>12</v>
      </c>
    </row>
    <row r="9" customFormat="false" ht="17" hidden="false" customHeight="false" outlineLevel="0" collapsed="false">
      <c r="A9" s="51" t="n">
        <v>20</v>
      </c>
      <c r="B9" s="52" t="n">
        <v>12</v>
      </c>
    </row>
    <row r="10" customFormat="false" ht="17" hidden="false" customHeight="false" outlineLevel="0" collapsed="false">
      <c r="A10" s="51" t="n">
        <v>5264</v>
      </c>
      <c r="B10" s="52" t="n">
        <v>12</v>
      </c>
    </row>
    <row r="11" customFormat="false" ht="17" hidden="false" customHeight="false" outlineLevel="0" collapsed="false">
      <c r="A11" s="51" t="n">
        <v>55</v>
      </c>
      <c r="B11" s="52" t="n">
        <v>12</v>
      </c>
    </row>
    <row r="12" customFormat="false" ht="17" hidden="false" customHeight="false" outlineLevel="0" collapsed="false">
      <c r="A12" s="51" t="n">
        <v>57</v>
      </c>
      <c r="B12" s="52" t="n">
        <v>12</v>
      </c>
    </row>
    <row r="13" customFormat="false" ht="17" hidden="false" customHeight="false" outlineLevel="0" collapsed="false">
      <c r="A13" s="51" t="n">
        <v>61</v>
      </c>
      <c r="B13" s="52" t="n">
        <v>12</v>
      </c>
    </row>
    <row r="14" customFormat="false" ht="17" hidden="false" customHeight="false" outlineLevel="0" collapsed="false">
      <c r="A14" s="51" t="n">
        <v>63</v>
      </c>
      <c r="B14" s="52" t="n">
        <v>12</v>
      </c>
    </row>
    <row r="15" customFormat="false" ht="17" hidden="false" customHeight="false" outlineLevel="0" collapsed="false">
      <c r="A15" s="51" t="n">
        <v>64</v>
      </c>
      <c r="B15" s="52" t="n">
        <v>12</v>
      </c>
    </row>
    <row r="16" customFormat="false" ht="17" hidden="false" customHeight="false" outlineLevel="0" collapsed="false">
      <c r="A16" s="51" t="n">
        <v>5261</v>
      </c>
      <c r="B16" s="52" t="n">
        <v>12</v>
      </c>
    </row>
    <row r="17" customFormat="false" ht="17" hidden="false" customHeight="false" outlineLevel="0" collapsed="false">
      <c r="A17" s="51" t="n">
        <v>81</v>
      </c>
      <c r="B17" s="52" t="n">
        <v>12</v>
      </c>
    </row>
    <row r="18" customFormat="false" ht="17" hidden="false" customHeight="false" outlineLevel="0" collapsed="false">
      <c r="A18" s="51" t="n">
        <v>196</v>
      </c>
      <c r="B18" s="52" t="n">
        <v>12</v>
      </c>
    </row>
    <row r="19" customFormat="false" ht="17" hidden="false" customHeight="false" outlineLevel="0" collapsed="false">
      <c r="A19" s="51" t="n">
        <v>5300</v>
      </c>
      <c r="B19" s="52" t="n">
        <v>12</v>
      </c>
    </row>
    <row r="20" customFormat="false" ht="17" hidden="false" customHeight="false" outlineLevel="0" collapsed="false">
      <c r="A20" s="51" t="n">
        <v>5274</v>
      </c>
      <c r="B20" s="52" t="n">
        <v>12</v>
      </c>
    </row>
    <row r="21" customFormat="false" ht="17" hidden="false" customHeight="false" outlineLevel="0" collapsed="false">
      <c r="A21" s="51" t="n">
        <v>216</v>
      </c>
      <c r="B21" s="52" t="n">
        <v>12</v>
      </c>
    </row>
    <row r="22" customFormat="false" ht="17" hidden="false" customHeight="false" outlineLevel="0" collapsed="false">
      <c r="A22" s="51" t="n">
        <v>5301</v>
      </c>
      <c r="B22" s="52" t="n">
        <v>12</v>
      </c>
    </row>
    <row r="23" customFormat="false" ht="17" hidden="false" customHeight="false" outlineLevel="0" collapsed="false">
      <c r="A23" s="51" t="n">
        <v>280</v>
      </c>
      <c r="B23" s="52" t="n">
        <v>12</v>
      </c>
    </row>
    <row r="24" customFormat="false" ht="17" hidden="false" customHeight="false" outlineLevel="0" collapsed="false">
      <c r="A24" s="51" t="n">
        <v>283</v>
      </c>
      <c r="B24" s="52" t="n">
        <v>12</v>
      </c>
    </row>
    <row r="25" customFormat="false" ht="17" hidden="false" customHeight="false" outlineLevel="0" collapsed="false">
      <c r="A25" s="51" t="n">
        <v>5302</v>
      </c>
      <c r="B25" s="52" t="n">
        <v>12</v>
      </c>
    </row>
    <row r="26" customFormat="false" ht="17" hidden="false" customHeight="false" outlineLevel="0" collapsed="false">
      <c r="A26" s="51" t="n">
        <v>376</v>
      </c>
      <c r="B26" s="52" t="n">
        <v>12</v>
      </c>
    </row>
    <row r="27" customFormat="false" ht="17" hidden="false" customHeight="false" outlineLevel="0" collapsed="false">
      <c r="A27" s="51" t="n">
        <v>377</v>
      </c>
      <c r="B27" s="52" t="n">
        <v>12</v>
      </c>
    </row>
    <row r="28" customFormat="false" ht="17" hidden="false" customHeight="false" outlineLevel="0" collapsed="false">
      <c r="A28" s="51" t="n">
        <v>379</v>
      </c>
      <c r="B28" s="52" t="n">
        <v>12</v>
      </c>
    </row>
    <row r="29" customFormat="false" ht="17" hidden="false" customHeight="false" outlineLevel="0" collapsed="false">
      <c r="A29" s="51" t="n">
        <v>383</v>
      </c>
      <c r="B29" s="52" t="n">
        <v>12</v>
      </c>
    </row>
    <row r="30" customFormat="false" ht="17" hidden="false" customHeight="false" outlineLevel="0" collapsed="false">
      <c r="A30" s="51" t="n">
        <v>385</v>
      </c>
      <c r="B30" s="52" t="n">
        <v>12</v>
      </c>
    </row>
    <row r="31" customFormat="false" ht="17" hidden="false" customHeight="false" outlineLevel="0" collapsed="false">
      <c r="A31" s="51" t="n">
        <v>386</v>
      </c>
      <c r="B31" s="52" t="n">
        <v>12</v>
      </c>
    </row>
    <row r="32" customFormat="false" ht="17" hidden="false" customHeight="false" outlineLevel="0" collapsed="false">
      <c r="A32" s="51" t="n">
        <v>5279</v>
      </c>
      <c r="B32" s="52" t="n">
        <v>12</v>
      </c>
    </row>
    <row r="33" customFormat="false" ht="17" hidden="false" customHeight="false" outlineLevel="0" collapsed="false">
      <c r="A33" s="51" t="n">
        <v>402</v>
      </c>
      <c r="B33" s="52" t="n">
        <v>12</v>
      </c>
    </row>
    <row r="34" customFormat="false" ht="17" hidden="false" customHeight="false" outlineLevel="0" collapsed="false">
      <c r="A34" s="51" t="n">
        <v>403</v>
      </c>
      <c r="B34" s="52" t="n">
        <v>12</v>
      </c>
    </row>
    <row r="35" customFormat="false" ht="17" hidden="false" customHeight="false" outlineLevel="0" collapsed="false">
      <c r="A35" s="51" t="n">
        <v>404</v>
      </c>
      <c r="B35" s="52" t="n">
        <v>12</v>
      </c>
    </row>
    <row r="36" customFormat="false" ht="17" hidden="false" customHeight="false" outlineLevel="0" collapsed="false">
      <c r="A36" s="51" t="n">
        <v>462</v>
      </c>
      <c r="B36" s="52" t="n">
        <v>12</v>
      </c>
    </row>
    <row r="37" customFormat="false" ht="17" hidden="false" customHeight="false" outlineLevel="0" collapsed="false">
      <c r="A37" s="51" t="n">
        <v>525</v>
      </c>
      <c r="B37" s="52" t="n">
        <v>12</v>
      </c>
    </row>
    <row r="38" customFormat="false" ht="17" hidden="false" customHeight="false" outlineLevel="0" collapsed="false">
      <c r="A38" s="51" t="n">
        <v>534</v>
      </c>
      <c r="B38" s="52" t="n">
        <v>12</v>
      </c>
    </row>
    <row r="39" customFormat="false" ht="17" hidden="false" customHeight="false" outlineLevel="0" collapsed="false">
      <c r="A39" s="51" t="n">
        <v>536</v>
      </c>
      <c r="B39" s="52" t="n">
        <v>12</v>
      </c>
    </row>
    <row r="40" customFormat="false" ht="17" hidden="false" customHeight="false" outlineLevel="0" collapsed="false">
      <c r="A40" s="51" t="n">
        <v>538</v>
      </c>
      <c r="B40" s="52" t="n">
        <v>12</v>
      </c>
    </row>
    <row r="41" customFormat="false" ht="17" hidden="false" customHeight="false" outlineLevel="0" collapsed="false">
      <c r="A41" s="51" t="n">
        <v>557</v>
      </c>
      <c r="B41" s="52" t="n">
        <v>12</v>
      </c>
    </row>
    <row r="42" customFormat="false" ht="17" hidden="false" customHeight="false" outlineLevel="0" collapsed="false">
      <c r="A42" s="51" t="n">
        <v>558</v>
      </c>
      <c r="B42" s="52" t="n">
        <v>12</v>
      </c>
    </row>
    <row r="43" customFormat="false" ht="17" hidden="false" customHeight="false" outlineLevel="0" collapsed="false">
      <c r="A43" s="51" t="n">
        <v>566</v>
      </c>
      <c r="B43" s="52" t="n">
        <v>12</v>
      </c>
    </row>
    <row r="44" customFormat="false" ht="17" hidden="false" customHeight="false" outlineLevel="0" collapsed="false">
      <c r="A44" s="51" t="n">
        <v>573</v>
      </c>
      <c r="B44" s="52" t="n">
        <v>12</v>
      </c>
    </row>
    <row r="45" customFormat="false" ht="17" hidden="false" customHeight="false" outlineLevel="0" collapsed="false">
      <c r="A45" s="51" t="n">
        <v>5295</v>
      </c>
      <c r="B45" s="52" t="n">
        <v>12</v>
      </c>
    </row>
    <row r="46" customFormat="false" ht="17" hidden="false" customHeight="false" outlineLevel="0" collapsed="false">
      <c r="A46" s="51" t="n">
        <v>654</v>
      </c>
      <c r="B46" s="52" t="n">
        <v>12</v>
      </c>
    </row>
    <row r="47" customFormat="false" ht="17" hidden="false" customHeight="false" outlineLevel="0" collapsed="false">
      <c r="A47" s="51" t="n">
        <v>658</v>
      </c>
      <c r="B47" s="52" t="n">
        <v>12</v>
      </c>
    </row>
    <row r="48" customFormat="false" ht="17" hidden="false" customHeight="false" outlineLevel="0" collapsed="false">
      <c r="A48" s="51" t="n">
        <v>659</v>
      </c>
      <c r="B48" s="52" t="n">
        <v>12</v>
      </c>
    </row>
    <row r="49" customFormat="false" ht="17" hidden="false" customHeight="false" outlineLevel="0" collapsed="false">
      <c r="A49" s="51" t="n">
        <v>669</v>
      </c>
      <c r="B49" s="52" t="n">
        <v>12</v>
      </c>
    </row>
    <row r="50" customFormat="false" ht="17" hidden="false" customHeight="false" outlineLevel="0" collapsed="false">
      <c r="A50" s="51" t="n">
        <v>675</v>
      </c>
      <c r="B50" s="52" t="n">
        <v>12</v>
      </c>
    </row>
    <row r="51" customFormat="false" ht="17" hidden="false" customHeight="false" outlineLevel="0" collapsed="false">
      <c r="A51" s="51" t="n">
        <v>681</v>
      </c>
      <c r="B51" s="52" t="n">
        <v>12</v>
      </c>
    </row>
    <row r="52" customFormat="false" ht="17" hidden="false" customHeight="false" outlineLevel="0" collapsed="false">
      <c r="A52" s="51" t="n">
        <v>682</v>
      </c>
      <c r="B52" s="52" t="n">
        <v>12</v>
      </c>
    </row>
    <row r="53" customFormat="false" ht="17" hidden="false" customHeight="false" outlineLevel="0" collapsed="false">
      <c r="A53" s="51" t="n">
        <v>5291</v>
      </c>
      <c r="B53" s="52" t="n">
        <v>12</v>
      </c>
    </row>
    <row r="54" customFormat="false" ht="17" hidden="false" customHeight="false" outlineLevel="0" collapsed="false">
      <c r="A54" s="51" t="n">
        <v>727</v>
      </c>
      <c r="B54" s="52" t="n">
        <v>12</v>
      </c>
    </row>
    <row r="55" customFormat="false" ht="17" hidden="false" customHeight="false" outlineLevel="0" collapsed="false">
      <c r="A55" s="51" t="n">
        <v>757</v>
      </c>
      <c r="B55" s="52" t="n">
        <v>12</v>
      </c>
    </row>
    <row r="56" customFormat="false" ht="17" hidden="false" customHeight="false" outlineLevel="0" collapsed="false">
      <c r="A56" s="51" t="n">
        <v>5268</v>
      </c>
      <c r="B56" s="52" t="n">
        <v>12</v>
      </c>
    </row>
    <row r="57" customFormat="false" ht="17" hidden="false" customHeight="false" outlineLevel="0" collapsed="false">
      <c r="A57" s="51" t="n">
        <v>5280</v>
      </c>
      <c r="B57" s="52" t="n">
        <v>12</v>
      </c>
    </row>
    <row r="58" customFormat="false" ht="17" hidden="false" customHeight="false" outlineLevel="0" collapsed="false">
      <c r="A58" s="51" t="n">
        <v>5297</v>
      </c>
      <c r="B58" s="52" t="n">
        <v>12</v>
      </c>
    </row>
    <row r="59" customFormat="false" ht="17" hidden="false" customHeight="false" outlineLevel="0" collapsed="false">
      <c r="A59" s="51" t="n">
        <v>889</v>
      </c>
      <c r="B59" s="52" t="n">
        <v>12</v>
      </c>
    </row>
    <row r="60" customFormat="false" ht="17" hidden="false" customHeight="false" outlineLevel="0" collapsed="false">
      <c r="A60" s="51" t="n">
        <v>5289</v>
      </c>
      <c r="B60" s="52" t="n">
        <v>12</v>
      </c>
    </row>
    <row r="61" customFormat="false" ht="17" hidden="false" customHeight="false" outlineLevel="0" collapsed="false">
      <c r="A61" s="51" t="n">
        <v>903</v>
      </c>
      <c r="B61" s="52" t="n">
        <v>12</v>
      </c>
    </row>
    <row r="62" customFormat="false" ht="17" hidden="false" customHeight="false" outlineLevel="0" collapsed="false">
      <c r="A62" s="51" t="n">
        <v>928</v>
      </c>
      <c r="B62" s="52" t="n">
        <v>12</v>
      </c>
    </row>
    <row r="63" customFormat="false" ht="17" hidden="false" customHeight="false" outlineLevel="0" collapsed="false">
      <c r="A63" s="51" t="n">
        <v>929</v>
      </c>
      <c r="B63" s="52" t="n">
        <v>12</v>
      </c>
    </row>
    <row r="64" customFormat="false" ht="17" hidden="false" customHeight="false" outlineLevel="0" collapsed="false">
      <c r="A64" s="51" t="n">
        <v>991</v>
      </c>
      <c r="B64" s="52" t="n">
        <v>12</v>
      </c>
    </row>
    <row r="65" customFormat="false" ht="17" hidden="false" customHeight="false" outlineLevel="0" collapsed="false">
      <c r="A65" s="51" t="n">
        <v>995</v>
      </c>
      <c r="B65" s="52" t="n">
        <v>12</v>
      </c>
    </row>
    <row r="66" customFormat="false" ht="17" hidden="false" customHeight="false" outlineLevel="0" collapsed="false">
      <c r="A66" s="51" t="n">
        <v>1006</v>
      </c>
      <c r="B66" s="52" t="n">
        <v>12</v>
      </c>
    </row>
    <row r="67" customFormat="false" ht="17" hidden="false" customHeight="false" outlineLevel="0" collapsed="false">
      <c r="A67" s="51" t="n">
        <v>5292</v>
      </c>
      <c r="B67" s="52" t="n">
        <v>12</v>
      </c>
    </row>
    <row r="68" customFormat="false" ht="17" hidden="false" customHeight="false" outlineLevel="0" collapsed="false">
      <c r="A68" s="51" t="n">
        <v>1098</v>
      </c>
      <c r="B68" s="52" t="n">
        <v>12</v>
      </c>
    </row>
    <row r="69" customFormat="false" ht="17" hidden="false" customHeight="false" outlineLevel="0" collapsed="false">
      <c r="A69" s="51" t="n">
        <v>1101</v>
      </c>
      <c r="B69" s="52" t="n">
        <v>12</v>
      </c>
    </row>
    <row r="70" customFormat="false" ht="17" hidden="false" customHeight="false" outlineLevel="0" collapsed="false">
      <c r="A70" s="51" t="n">
        <v>5271</v>
      </c>
      <c r="B70" s="52" t="n">
        <v>12</v>
      </c>
    </row>
    <row r="71" customFormat="false" ht="17" hidden="false" customHeight="false" outlineLevel="0" collapsed="false">
      <c r="A71" s="51" t="n">
        <v>5298</v>
      </c>
      <c r="B71" s="52" t="n">
        <v>12</v>
      </c>
    </row>
    <row r="72" customFormat="false" ht="17" hidden="false" customHeight="false" outlineLevel="0" collapsed="false">
      <c r="A72" s="51" t="n">
        <v>1199</v>
      </c>
      <c r="B72" s="52" t="n">
        <v>12</v>
      </c>
    </row>
    <row r="73" customFormat="false" ht="17" hidden="false" customHeight="false" outlineLevel="0" collapsed="false">
      <c r="A73" s="51" t="n">
        <v>1211</v>
      </c>
      <c r="B73" s="52" t="n">
        <v>12</v>
      </c>
    </row>
    <row r="74" customFormat="false" ht="17" hidden="false" customHeight="false" outlineLevel="0" collapsed="false">
      <c r="A74" s="51" t="n">
        <v>1259</v>
      </c>
      <c r="B74" s="52" t="n">
        <v>12</v>
      </c>
    </row>
    <row r="75" customFormat="false" ht="17" hidden="false" customHeight="false" outlineLevel="0" collapsed="false">
      <c r="A75" s="51" t="n">
        <v>1261</v>
      </c>
      <c r="B75" s="52" t="n">
        <v>12</v>
      </c>
    </row>
    <row r="76" customFormat="false" ht="17" hidden="false" customHeight="false" outlineLevel="0" collapsed="false">
      <c r="A76" s="51" t="n">
        <v>1280</v>
      </c>
      <c r="B76" s="52" t="n">
        <v>12</v>
      </c>
    </row>
    <row r="77" customFormat="false" ht="17" hidden="false" customHeight="false" outlineLevel="0" collapsed="false">
      <c r="A77" s="51" t="n">
        <v>1302</v>
      </c>
      <c r="B77" s="52" t="n">
        <v>12</v>
      </c>
    </row>
    <row r="78" customFormat="false" ht="17" hidden="false" customHeight="false" outlineLevel="0" collapsed="false">
      <c r="A78" s="51" t="n">
        <v>1345</v>
      </c>
      <c r="B78" s="52" t="n">
        <v>12</v>
      </c>
    </row>
    <row r="79" customFormat="false" ht="17" hidden="false" customHeight="false" outlineLevel="0" collapsed="false">
      <c r="A79" s="51" t="n">
        <v>1368</v>
      </c>
      <c r="B79" s="52" t="n">
        <v>12</v>
      </c>
    </row>
    <row r="80" customFormat="false" ht="17" hidden="false" customHeight="false" outlineLevel="0" collapsed="false">
      <c r="A80" s="51" t="n">
        <v>1379</v>
      </c>
      <c r="B80" s="52" t="n">
        <v>12</v>
      </c>
    </row>
    <row r="81" customFormat="false" ht="17" hidden="false" customHeight="false" outlineLevel="0" collapsed="false">
      <c r="A81" s="51" t="n">
        <v>1399</v>
      </c>
      <c r="B81" s="52" t="n">
        <v>12</v>
      </c>
    </row>
    <row r="82" customFormat="false" ht="17" hidden="false" customHeight="false" outlineLevel="0" collapsed="false">
      <c r="A82" s="51" t="n">
        <v>1413</v>
      </c>
      <c r="B82" s="52" t="n">
        <v>12</v>
      </c>
    </row>
    <row r="83" customFormat="false" ht="17" hidden="false" customHeight="false" outlineLevel="0" collapsed="false">
      <c r="A83" s="51" t="n">
        <v>1424</v>
      </c>
      <c r="B83" s="52" t="n">
        <v>12</v>
      </c>
    </row>
    <row r="84" customFormat="false" ht="17" hidden="false" customHeight="false" outlineLevel="0" collapsed="false">
      <c r="A84" s="51" t="n">
        <v>1435</v>
      </c>
      <c r="B84" s="52" t="n">
        <v>12</v>
      </c>
    </row>
    <row r="85" customFormat="false" ht="17" hidden="false" customHeight="false" outlineLevel="0" collapsed="false">
      <c r="A85" s="51" t="n">
        <v>1437</v>
      </c>
      <c r="B85" s="52" t="n">
        <v>12</v>
      </c>
    </row>
    <row r="86" customFormat="false" ht="17" hidden="false" customHeight="false" outlineLevel="0" collapsed="false">
      <c r="A86" s="51" t="n">
        <v>1477</v>
      </c>
      <c r="B86" s="52" t="n">
        <v>12</v>
      </c>
    </row>
    <row r="87" customFormat="false" ht="17" hidden="false" customHeight="false" outlineLevel="0" collapsed="false">
      <c r="A87" s="51" t="n">
        <v>5265</v>
      </c>
      <c r="B87" s="52" t="n">
        <v>12</v>
      </c>
    </row>
    <row r="88" customFormat="false" ht="17" hidden="false" customHeight="false" outlineLevel="0" collapsed="false">
      <c r="A88" s="51" t="n">
        <v>5299</v>
      </c>
      <c r="B88" s="52" t="n">
        <v>12</v>
      </c>
    </row>
    <row r="89" customFormat="false" ht="17" hidden="false" customHeight="false" outlineLevel="0" collapsed="false">
      <c r="A89" s="51" t="n">
        <v>1540</v>
      </c>
      <c r="B89" s="52" t="n">
        <v>12</v>
      </c>
    </row>
    <row r="90" customFormat="false" ht="17" hidden="false" customHeight="false" outlineLevel="0" collapsed="false">
      <c r="A90" s="51" t="n">
        <v>1560</v>
      </c>
      <c r="B90" s="52" t="n">
        <v>12</v>
      </c>
    </row>
    <row r="91" customFormat="false" ht="17" hidden="false" customHeight="false" outlineLevel="0" collapsed="false">
      <c r="A91" s="51" t="n">
        <v>5272</v>
      </c>
      <c r="B91" s="52" t="n">
        <v>12</v>
      </c>
    </row>
    <row r="92" customFormat="false" ht="17" hidden="false" customHeight="false" outlineLevel="0" collapsed="false">
      <c r="A92" s="51" t="n">
        <v>1578</v>
      </c>
      <c r="B92" s="52" t="n">
        <v>12</v>
      </c>
    </row>
    <row r="93" customFormat="false" ht="17" hidden="false" customHeight="false" outlineLevel="0" collapsed="false">
      <c r="A93" s="51" t="n">
        <v>1613</v>
      </c>
      <c r="B93" s="52" t="n">
        <v>12</v>
      </c>
    </row>
    <row r="94" customFormat="false" ht="17" hidden="false" customHeight="false" outlineLevel="0" collapsed="false">
      <c r="A94" s="51" t="n">
        <v>5303</v>
      </c>
      <c r="B94" s="52" t="n">
        <v>12</v>
      </c>
    </row>
    <row r="95" customFormat="false" ht="17" hidden="false" customHeight="false" outlineLevel="0" collapsed="false">
      <c r="A95" s="51" t="n">
        <v>5307</v>
      </c>
      <c r="B95" s="52" t="n">
        <v>12</v>
      </c>
    </row>
    <row r="96" customFormat="false" ht="17" hidden="false" customHeight="false" outlineLevel="0" collapsed="false">
      <c r="A96" s="51" t="n">
        <v>1671</v>
      </c>
      <c r="B96" s="52" t="n">
        <v>12</v>
      </c>
    </row>
    <row r="97" customFormat="false" ht="17" hidden="false" customHeight="false" outlineLevel="0" collapsed="false">
      <c r="A97" s="51" t="n">
        <v>1688</v>
      </c>
      <c r="B97" s="52" t="n">
        <v>12</v>
      </c>
    </row>
    <row r="98" customFormat="false" ht="17" hidden="false" customHeight="false" outlineLevel="0" collapsed="false">
      <c r="A98" s="51" t="n">
        <v>5269</v>
      </c>
      <c r="B98" s="52" t="n">
        <v>12</v>
      </c>
    </row>
    <row r="99" customFormat="false" ht="17" hidden="false" customHeight="false" outlineLevel="0" collapsed="false">
      <c r="A99" s="51" t="n">
        <v>1805</v>
      </c>
      <c r="B99" s="52" t="n">
        <v>12</v>
      </c>
    </row>
    <row r="100" customFormat="false" ht="17" hidden="false" customHeight="false" outlineLevel="0" collapsed="false">
      <c r="A100" s="51" t="n">
        <v>1808</v>
      </c>
      <c r="B100" s="52" t="n">
        <v>12</v>
      </c>
    </row>
    <row r="101" customFormat="false" ht="17" hidden="false" customHeight="false" outlineLevel="0" collapsed="false">
      <c r="A101" s="51" t="n">
        <v>1824</v>
      </c>
      <c r="B101" s="52" t="n">
        <v>12</v>
      </c>
    </row>
    <row r="102" customFormat="false" ht="17" hidden="false" customHeight="false" outlineLevel="0" collapsed="false">
      <c r="A102" s="51" t="n">
        <v>1834</v>
      </c>
      <c r="B102" s="52" t="n">
        <v>12</v>
      </c>
    </row>
    <row r="103" customFormat="false" ht="17" hidden="false" customHeight="false" outlineLevel="0" collapsed="false">
      <c r="A103" s="51" t="n">
        <v>1840</v>
      </c>
      <c r="B103" s="52" t="n">
        <v>12</v>
      </c>
    </row>
    <row r="104" customFormat="false" ht="17" hidden="false" customHeight="false" outlineLevel="0" collapsed="false">
      <c r="A104" s="51" t="n">
        <v>1844</v>
      </c>
      <c r="B104" s="52" t="n">
        <v>12</v>
      </c>
    </row>
    <row r="105" customFormat="false" ht="17" hidden="false" customHeight="false" outlineLevel="0" collapsed="false">
      <c r="A105" s="51" t="n">
        <v>1851</v>
      </c>
      <c r="B105" s="52" t="n">
        <v>12</v>
      </c>
    </row>
    <row r="106" customFormat="false" ht="17" hidden="false" customHeight="false" outlineLevel="0" collapsed="false">
      <c r="A106" s="51" t="n">
        <v>2006</v>
      </c>
      <c r="B106" s="52" t="n">
        <v>12</v>
      </c>
    </row>
    <row r="107" customFormat="false" ht="17" hidden="false" customHeight="false" outlineLevel="0" collapsed="false">
      <c r="A107" s="51" t="n">
        <v>2044</v>
      </c>
      <c r="B107" s="52" t="n">
        <v>12</v>
      </c>
    </row>
    <row r="108" customFormat="false" ht="17" hidden="false" customHeight="false" outlineLevel="0" collapsed="false">
      <c r="A108" s="51" t="n">
        <v>2114</v>
      </c>
      <c r="B108" s="52" t="n">
        <v>12</v>
      </c>
    </row>
    <row r="109" customFormat="false" ht="17" hidden="false" customHeight="false" outlineLevel="0" collapsed="false">
      <c r="A109" s="51" t="n">
        <v>2117</v>
      </c>
      <c r="B109" s="52" t="n">
        <v>12</v>
      </c>
    </row>
    <row r="110" customFormat="false" ht="17" hidden="false" customHeight="false" outlineLevel="0" collapsed="false">
      <c r="A110" s="51" t="n">
        <v>2133</v>
      </c>
      <c r="B110" s="52" t="n">
        <v>12</v>
      </c>
    </row>
    <row r="111" customFormat="false" ht="17" hidden="false" customHeight="false" outlineLevel="0" collapsed="false">
      <c r="A111" s="51" t="n">
        <v>5270</v>
      </c>
      <c r="B111" s="52" t="n">
        <v>12</v>
      </c>
    </row>
    <row r="112" customFormat="false" ht="17" hidden="false" customHeight="false" outlineLevel="0" collapsed="false">
      <c r="A112" s="51" t="n">
        <v>2243</v>
      </c>
      <c r="B112" s="52" t="n">
        <v>12</v>
      </c>
    </row>
    <row r="113" customFormat="false" ht="17" hidden="false" customHeight="false" outlineLevel="0" collapsed="false">
      <c r="A113" s="51" t="n">
        <v>2328</v>
      </c>
      <c r="B113" s="52" t="n">
        <v>12</v>
      </c>
    </row>
    <row r="114" customFormat="false" ht="17" hidden="false" customHeight="false" outlineLevel="0" collapsed="false">
      <c r="A114" s="51" t="n">
        <v>2338</v>
      </c>
      <c r="B114" s="52" t="n">
        <v>12</v>
      </c>
    </row>
    <row r="115" customFormat="false" ht="17" hidden="false" customHeight="false" outlineLevel="0" collapsed="false">
      <c r="A115" s="51" t="n">
        <v>2447</v>
      </c>
      <c r="B115" s="52" t="n">
        <v>12</v>
      </c>
    </row>
    <row r="116" customFormat="false" ht="17" hidden="false" customHeight="false" outlineLevel="0" collapsed="false">
      <c r="A116" s="51" t="n">
        <v>2450</v>
      </c>
      <c r="B116" s="52" t="n">
        <v>12</v>
      </c>
    </row>
    <row r="117" customFormat="false" ht="17" hidden="false" customHeight="false" outlineLevel="0" collapsed="false">
      <c r="A117" s="51" t="n">
        <v>2451</v>
      </c>
      <c r="B117" s="52" t="n">
        <v>12</v>
      </c>
    </row>
    <row r="118" customFormat="false" ht="17" hidden="false" customHeight="false" outlineLevel="0" collapsed="false">
      <c r="A118" s="51" t="n">
        <v>2486</v>
      </c>
      <c r="B118" s="52" t="n">
        <v>12</v>
      </c>
    </row>
    <row r="119" customFormat="false" ht="17" hidden="false" customHeight="false" outlineLevel="0" collapsed="false">
      <c r="A119" s="51" t="n">
        <v>2541</v>
      </c>
      <c r="B119" s="52" t="n">
        <v>12</v>
      </c>
    </row>
    <row r="120" customFormat="false" ht="17" hidden="false" customHeight="false" outlineLevel="0" collapsed="false">
      <c r="A120" s="51" t="n">
        <v>2591</v>
      </c>
      <c r="B120" s="52" t="n">
        <v>12</v>
      </c>
    </row>
    <row r="121" customFormat="false" ht="17" hidden="false" customHeight="false" outlineLevel="0" collapsed="false">
      <c r="A121" s="51" t="n">
        <v>2611</v>
      </c>
      <c r="B121" s="52" t="n">
        <v>12</v>
      </c>
    </row>
    <row r="122" customFormat="false" ht="17" hidden="false" customHeight="false" outlineLevel="0" collapsed="false">
      <c r="A122" s="51" t="n">
        <v>2631</v>
      </c>
      <c r="B122" s="52" t="n">
        <v>12</v>
      </c>
    </row>
    <row r="123" customFormat="false" ht="17" hidden="false" customHeight="false" outlineLevel="0" collapsed="false">
      <c r="A123" s="51" t="n">
        <v>2678</v>
      </c>
      <c r="B123" s="52" t="n">
        <v>12</v>
      </c>
    </row>
    <row r="124" customFormat="false" ht="17" hidden="false" customHeight="false" outlineLevel="0" collapsed="false">
      <c r="A124" s="51" t="n">
        <v>5304</v>
      </c>
      <c r="B124" s="52" t="n">
        <v>12</v>
      </c>
    </row>
    <row r="125" customFormat="false" ht="17" hidden="false" customHeight="false" outlineLevel="0" collapsed="false">
      <c r="A125" s="51" t="n">
        <v>2688</v>
      </c>
      <c r="B125" s="52" t="n">
        <v>12</v>
      </c>
    </row>
    <row r="126" customFormat="false" ht="17" hidden="false" customHeight="false" outlineLevel="0" collapsed="false">
      <c r="A126" s="51" t="n">
        <v>2694</v>
      </c>
      <c r="B126" s="52" t="n">
        <v>12</v>
      </c>
    </row>
    <row r="127" customFormat="false" ht="17" hidden="false" customHeight="false" outlineLevel="0" collapsed="false">
      <c r="A127" s="51" t="n">
        <v>2702</v>
      </c>
      <c r="B127" s="52" t="n">
        <v>12</v>
      </c>
    </row>
    <row r="128" customFormat="false" ht="17" hidden="false" customHeight="false" outlineLevel="0" collapsed="false">
      <c r="A128" s="51" t="n">
        <v>2784</v>
      </c>
      <c r="B128" s="52" t="n">
        <v>12</v>
      </c>
    </row>
    <row r="129" customFormat="false" ht="17" hidden="false" customHeight="false" outlineLevel="0" collapsed="false">
      <c r="A129" s="51" t="n">
        <v>2798</v>
      </c>
      <c r="B129" s="52" t="n">
        <v>12</v>
      </c>
    </row>
    <row r="130" customFormat="false" ht="17" hidden="false" customHeight="false" outlineLevel="0" collapsed="false">
      <c r="A130" s="51" t="n">
        <v>2821</v>
      </c>
      <c r="B130" s="52" t="n">
        <v>12</v>
      </c>
    </row>
    <row r="131" customFormat="false" ht="17" hidden="false" customHeight="false" outlineLevel="0" collapsed="false">
      <c r="A131" s="51" t="n">
        <v>2824</v>
      </c>
      <c r="B131" s="52" t="n">
        <v>12</v>
      </c>
    </row>
    <row r="132" customFormat="false" ht="17" hidden="false" customHeight="false" outlineLevel="0" collapsed="false">
      <c r="A132" s="51" t="n">
        <v>2869</v>
      </c>
      <c r="B132" s="52" t="n">
        <v>12</v>
      </c>
    </row>
    <row r="133" customFormat="false" ht="17" hidden="false" customHeight="false" outlineLevel="0" collapsed="false">
      <c r="A133" s="51" t="n">
        <v>2929</v>
      </c>
      <c r="B133" s="52" t="n">
        <v>12</v>
      </c>
    </row>
    <row r="134" customFormat="false" ht="17" hidden="false" customHeight="false" outlineLevel="0" collapsed="false">
      <c r="A134" s="51" t="n">
        <v>2936</v>
      </c>
      <c r="B134" s="52" t="n">
        <v>12</v>
      </c>
    </row>
    <row r="135" customFormat="false" ht="17" hidden="false" customHeight="false" outlineLevel="0" collapsed="false">
      <c r="A135" s="51" t="n">
        <v>2985</v>
      </c>
      <c r="B135" s="52" t="n">
        <v>12</v>
      </c>
    </row>
    <row r="136" customFormat="false" ht="17" hidden="false" customHeight="false" outlineLevel="0" collapsed="false">
      <c r="A136" s="51" t="n">
        <v>2988</v>
      </c>
      <c r="B136" s="52" t="n">
        <v>12</v>
      </c>
    </row>
    <row r="137" customFormat="false" ht="17" hidden="false" customHeight="false" outlineLevel="0" collapsed="false">
      <c r="A137" s="51" t="n">
        <v>3056</v>
      </c>
      <c r="B137" s="52" t="n">
        <v>12</v>
      </c>
    </row>
    <row r="138" customFormat="false" ht="17" hidden="false" customHeight="false" outlineLevel="0" collapsed="false">
      <c r="A138" s="51" t="n">
        <v>3109</v>
      </c>
      <c r="B138" s="52" t="n">
        <v>12</v>
      </c>
    </row>
    <row r="139" customFormat="false" ht="17" hidden="false" customHeight="false" outlineLevel="0" collapsed="false">
      <c r="A139" s="51" t="n">
        <v>3131</v>
      </c>
      <c r="B139" s="52" t="n">
        <v>12</v>
      </c>
    </row>
    <row r="140" customFormat="false" ht="17" hidden="false" customHeight="false" outlineLevel="0" collapsed="false">
      <c r="A140" s="51" t="n">
        <v>3146</v>
      </c>
      <c r="B140" s="52" t="n">
        <v>12</v>
      </c>
    </row>
    <row r="141" customFormat="false" ht="17" hidden="false" customHeight="false" outlineLevel="0" collapsed="false">
      <c r="A141" s="51" t="n">
        <v>3149</v>
      </c>
      <c r="B141" s="52" t="n">
        <v>12</v>
      </c>
    </row>
    <row r="142" customFormat="false" ht="17" hidden="false" customHeight="false" outlineLevel="0" collapsed="false">
      <c r="A142" s="51" t="n">
        <v>3178</v>
      </c>
      <c r="B142" s="52" t="n">
        <v>12</v>
      </c>
    </row>
    <row r="143" customFormat="false" ht="17" hidden="false" customHeight="false" outlineLevel="0" collapsed="false">
      <c r="A143" s="51" t="n">
        <v>5296</v>
      </c>
      <c r="B143" s="52" t="n">
        <v>12</v>
      </c>
    </row>
    <row r="144" customFormat="false" ht="17" hidden="false" customHeight="false" outlineLevel="0" collapsed="false">
      <c r="A144" s="51" t="n">
        <v>3202</v>
      </c>
      <c r="B144" s="52" t="n">
        <v>12</v>
      </c>
    </row>
    <row r="145" customFormat="false" ht="17" hidden="false" customHeight="false" outlineLevel="0" collapsed="false">
      <c r="A145" s="51" t="n">
        <v>3210</v>
      </c>
      <c r="B145" s="52" t="n">
        <v>12</v>
      </c>
    </row>
    <row r="146" customFormat="false" ht="17" hidden="false" customHeight="false" outlineLevel="0" collapsed="false">
      <c r="A146" s="51" t="n">
        <v>3220</v>
      </c>
      <c r="B146" s="52" t="n">
        <v>12</v>
      </c>
    </row>
    <row r="147" customFormat="false" ht="17" hidden="false" customHeight="false" outlineLevel="0" collapsed="false">
      <c r="A147" s="51" t="n">
        <v>3232</v>
      </c>
      <c r="B147" s="52" t="n">
        <v>12</v>
      </c>
    </row>
    <row r="148" customFormat="false" ht="17" hidden="false" customHeight="false" outlineLevel="0" collapsed="false">
      <c r="A148" s="51" t="n">
        <v>3258</v>
      </c>
      <c r="B148" s="52" t="n">
        <v>12</v>
      </c>
    </row>
    <row r="149" customFormat="false" ht="17" hidden="false" customHeight="false" outlineLevel="0" collapsed="false">
      <c r="A149" s="51" t="n">
        <v>3266</v>
      </c>
      <c r="B149" s="52" t="n">
        <v>12</v>
      </c>
    </row>
    <row r="150" customFormat="false" ht="17" hidden="false" customHeight="false" outlineLevel="0" collapsed="false">
      <c r="A150" s="51" t="n">
        <v>3314</v>
      </c>
      <c r="B150" s="52" t="n">
        <v>12</v>
      </c>
    </row>
    <row r="151" customFormat="false" ht="17" hidden="false" customHeight="false" outlineLevel="0" collapsed="false">
      <c r="A151" s="51" t="n">
        <v>3332</v>
      </c>
      <c r="B151" s="52" t="n">
        <v>12</v>
      </c>
    </row>
    <row r="152" customFormat="false" ht="17" hidden="false" customHeight="false" outlineLevel="0" collapsed="false">
      <c r="A152" s="51" t="n">
        <v>3344</v>
      </c>
      <c r="B152" s="52" t="n">
        <v>12</v>
      </c>
    </row>
    <row r="153" customFormat="false" ht="17" hidden="false" customHeight="false" outlineLevel="0" collapsed="false">
      <c r="A153" s="51" t="n">
        <v>3349</v>
      </c>
      <c r="B153" s="52" t="n">
        <v>12</v>
      </c>
    </row>
    <row r="154" customFormat="false" ht="17" hidden="false" customHeight="false" outlineLevel="0" collapsed="false">
      <c r="A154" s="51" t="n">
        <v>3360</v>
      </c>
      <c r="B154" s="52" t="n">
        <v>12</v>
      </c>
    </row>
    <row r="155" customFormat="false" ht="17" hidden="false" customHeight="false" outlineLevel="0" collapsed="false">
      <c r="A155" s="51" t="n">
        <v>3362</v>
      </c>
      <c r="B155" s="52" t="n">
        <v>12</v>
      </c>
    </row>
    <row r="156" customFormat="false" ht="17" hidden="false" customHeight="false" outlineLevel="0" collapsed="false">
      <c r="A156" s="51" t="n">
        <v>3373</v>
      </c>
      <c r="B156" s="52" t="n">
        <v>12</v>
      </c>
    </row>
    <row r="157" customFormat="false" ht="17" hidden="false" customHeight="false" outlineLevel="0" collapsed="false">
      <c r="A157" s="51" t="n">
        <v>3437</v>
      </c>
      <c r="B157" s="52" t="n">
        <v>12</v>
      </c>
    </row>
    <row r="158" customFormat="false" ht="17" hidden="false" customHeight="false" outlineLevel="0" collapsed="false">
      <c r="A158" s="51" t="n">
        <v>3481</v>
      </c>
      <c r="B158" s="52" t="n">
        <v>12</v>
      </c>
    </row>
    <row r="159" customFormat="false" ht="17" hidden="false" customHeight="false" outlineLevel="0" collapsed="false">
      <c r="A159" s="51" t="n">
        <v>3582</v>
      </c>
      <c r="B159" s="52" t="n">
        <v>12</v>
      </c>
    </row>
    <row r="160" customFormat="false" ht="17" hidden="false" customHeight="false" outlineLevel="0" collapsed="false">
      <c r="A160" s="51" t="n">
        <v>3522</v>
      </c>
      <c r="B160" s="52" t="n">
        <v>12</v>
      </c>
    </row>
    <row r="161" customFormat="false" ht="17" hidden="false" customHeight="false" outlineLevel="0" collapsed="false">
      <c r="A161" s="51" t="n">
        <v>3530</v>
      </c>
      <c r="B161" s="52" t="n">
        <v>12</v>
      </c>
    </row>
    <row r="162" customFormat="false" ht="17" hidden="false" customHeight="false" outlineLevel="0" collapsed="false">
      <c r="A162" s="51" t="n">
        <v>3531</v>
      </c>
      <c r="B162" s="52" t="n">
        <v>12</v>
      </c>
    </row>
    <row r="163" customFormat="false" ht="17" hidden="false" customHeight="false" outlineLevel="0" collapsed="false">
      <c r="A163" s="51" t="n">
        <v>3532</v>
      </c>
      <c r="B163" s="52" t="n">
        <v>12</v>
      </c>
    </row>
    <row r="164" customFormat="false" ht="17" hidden="false" customHeight="false" outlineLevel="0" collapsed="false">
      <c r="A164" s="51" t="n">
        <v>3544</v>
      </c>
      <c r="B164" s="52" t="n">
        <v>12</v>
      </c>
    </row>
    <row r="165" customFormat="false" ht="15.8" hidden="false" customHeight="false" outlineLevel="0" collapsed="false">
      <c r="A165" s="53" t="n">
        <v>3555</v>
      </c>
      <c r="B165" s="52" t="n">
        <v>12</v>
      </c>
    </row>
    <row r="166" customFormat="false" ht="17" hidden="false" customHeight="false" outlineLevel="0" collapsed="false">
      <c r="A166" s="51" t="n">
        <v>3565</v>
      </c>
      <c r="B166" s="52" t="n">
        <v>12</v>
      </c>
    </row>
    <row r="167" customFormat="false" ht="17" hidden="false" customHeight="false" outlineLevel="0" collapsed="false">
      <c r="A167" s="51" t="n">
        <v>3569</v>
      </c>
      <c r="B167" s="52" t="n">
        <v>12</v>
      </c>
    </row>
    <row r="168" customFormat="false" ht="17" hidden="false" customHeight="false" outlineLevel="0" collapsed="false">
      <c r="A168" s="51" t="n">
        <v>5310</v>
      </c>
      <c r="B168" s="52" t="n">
        <v>12</v>
      </c>
    </row>
    <row r="169" customFormat="false" ht="17" hidden="false" customHeight="false" outlineLevel="0" collapsed="false">
      <c r="A169" s="51" t="n">
        <v>3597</v>
      </c>
      <c r="B169" s="52" t="n">
        <v>12</v>
      </c>
    </row>
    <row r="170" customFormat="false" ht="17" hidden="false" customHeight="false" outlineLevel="0" collapsed="false">
      <c r="A170" s="51" t="n">
        <v>3607</v>
      </c>
      <c r="B170" s="52" t="n">
        <v>12</v>
      </c>
    </row>
    <row r="171" customFormat="false" ht="17" hidden="false" customHeight="false" outlineLevel="0" collapsed="false">
      <c r="A171" s="51" t="n">
        <v>3608</v>
      </c>
      <c r="B171" s="52" t="n">
        <v>12</v>
      </c>
    </row>
    <row r="172" customFormat="false" ht="17" hidden="false" customHeight="false" outlineLevel="0" collapsed="false">
      <c r="A172" s="51" t="n">
        <v>4535</v>
      </c>
      <c r="B172" s="52" t="n">
        <v>12</v>
      </c>
    </row>
    <row r="173" customFormat="false" ht="17" hidden="false" customHeight="false" outlineLevel="0" collapsed="false">
      <c r="A173" s="51" t="n">
        <v>3630</v>
      </c>
      <c r="B173" s="52" t="n">
        <v>12</v>
      </c>
    </row>
    <row r="174" customFormat="false" ht="17" hidden="false" customHeight="false" outlineLevel="0" collapsed="false">
      <c r="A174" s="51" t="n">
        <v>3631</v>
      </c>
      <c r="B174" s="52" t="n">
        <v>12</v>
      </c>
    </row>
    <row r="175" customFormat="false" ht="17" hidden="false" customHeight="false" outlineLevel="0" collapsed="false">
      <c r="A175" s="51" t="n">
        <v>3632</v>
      </c>
      <c r="B175" s="52" t="n">
        <v>12</v>
      </c>
    </row>
    <row r="176" customFormat="false" ht="17" hidden="false" customHeight="false" outlineLevel="0" collapsed="false">
      <c r="A176" s="51" t="n">
        <v>3633</v>
      </c>
      <c r="B176" s="52" t="n">
        <v>12</v>
      </c>
    </row>
    <row r="177" customFormat="false" ht="17" hidden="false" customHeight="false" outlineLevel="0" collapsed="false">
      <c r="A177" s="51" t="n">
        <v>3634</v>
      </c>
      <c r="B177" s="52" t="n">
        <v>12</v>
      </c>
    </row>
    <row r="178" customFormat="false" ht="17" hidden="false" customHeight="false" outlineLevel="0" collapsed="false">
      <c r="A178" s="51" t="n">
        <v>3640</v>
      </c>
      <c r="B178" s="52" t="n">
        <v>12</v>
      </c>
    </row>
    <row r="179" customFormat="false" ht="17" hidden="false" customHeight="false" outlineLevel="0" collapsed="false">
      <c r="A179" s="51" t="n">
        <v>3641</v>
      </c>
      <c r="B179" s="52" t="n">
        <v>12</v>
      </c>
    </row>
    <row r="180" customFormat="false" ht="17" hidden="false" customHeight="false" outlineLevel="0" collapsed="false">
      <c r="A180" s="51" t="n">
        <v>5286</v>
      </c>
      <c r="B180" s="52" t="n">
        <v>12</v>
      </c>
    </row>
    <row r="181" customFormat="false" ht="17" hidden="false" customHeight="false" outlineLevel="0" collapsed="false">
      <c r="A181" s="51" t="n">
        <v>3645</v>
      </c>
      <c r="B181" s="52" t="n">
        <v>12</v>
      </c>
    </row>
    <row r="182" customFormat="false" ht="17" hidden="false" customHeight="false" outlineLevel="0" collapsed="false">
      <c r="A182" s="51" t="n">
        <v>5287</v>
      </c>
      <c r="B182" s="52" t="n">
        <v>12</v>
      </c>
    </row>
    <row r="183" customFormat="false" ht="17" hidden="false" customHeight="false" outlineLevel="0" collapsed="false">
      <c r="A183" s="51" t="n">
        <v>3652</v>
      </c>
      <c r="B183" s="52" t="n">
        <v>12</v>
      </c>
    </row>
    <row r="184" customFormat="false" ht="17" hidden="false" customHeight="false" outlineLevel="0" collapsed="false">
      <c r="A184" s="51" t="n">
        <v>3656</v>
      </c>
      <c r="B184" s="52" t="n">
        <v>12</v>
      </c>
    </row>
    <row r="185" customFormat="false" ht="17" hidden="false" customHeight="false" outlineLevel="0" collapsed="false">
      <c r="A185" s="51" t="n">
        <v>3662</v>
      </c>
      <c r="B185" s="52" t="n">
        <v>12</v>
      </c>
    </row>
    <row r="186" customFormat="false" ht="17" hidden="false" customHeight="false" outlineLevel="0" collapsed="false">
      <c r="A186" s="51" t="n">
        <v>3664</v>
      </c>
      <c r="B186" s="52" t="n">
        <v>12</v>
      </c>
    </row>
    <row r="187" customFormat="false" ht="17" hidden="false" customHeight="false" outlineLevel="0" collapsed="false">
      <c r="A187" s="51" t="n">
        <v>3672</v>
      </c>
      <c r="B187" s="52" t="n">
        <v>12</v>
      </c>
    </row>
    <row r="188" customFormat="false" ht="17" hidden="false" customHeight="false" outlineLevel="0" collapsed="false">
      <c r="A188" s="51" t="n">
        <v>3673</v>
      </c>
      <c r="B188" s="52" t="n">
        <v>12</v>
      </c>
    </row>
    <row r="189" customFormat="false" ht="17" hidden="false" customHeight="false" outlineLevel="0" collapsed="false">
      <c r="A189" s="51" t="n">
        <v>3674</v>
      </c>
      <c r="B189" s="52" t="n">
        <v>12</v>
      </c>
    </row>
    <row r="190" customFormat="false" ht="17" hidden="false" customHeight="false" outlineLevel="0" collapsed="false">
      <c r="A190" s="51" t="n">
        <v>3682</v>
      </c>
      <c r="B190" s="52" t="n">
        <v>12</v>
      </c>
    </row>
    <row r="191" customFormat="false" ht="17" hidden="false" customHeight="false" outlineLevel="0" collapsed="false">
      <c r="A191" s="51" t="n">
        <v>3687</v>
      </c>
      <c r="B191" s="52" t="n">
        <v>12</v>
      </c>
    </row>
    <row r="192" customFormat="false" ht="17" hidden="false" customHeight="false" outlineLevel="0" collapsed="false">
      <c r="A192" s="51" t="n">
        <v>3714</v>
      </c>
      <c r="B192" s="52" t="n">
        <v>12</v>
      </c>
    </row>
    <row r="193" customFormat="false" ht="17" hidden="false" customHeight="false" outlineLevel="0" collapsed="false">
      <c r="A193" s="51" t="n">
        <v>3722</v>
      </c>
      <c r="B193" s="52" t="n">
        <v>12</v>
      </c>
    </row>
    <row r="194" customFormat="false" ht="17" hidden="false" customHeight="false" outlineLevel="0" collapsed="false">
      <c r="A194" s="51" t="n">
        <v>3729</v>
      </c>
      <c r="B194" s="52" t="n">
        <v>12</v>
      </c>
    </row>
    <row r="195" customFormat="false" ht="17" hidden="false" customHeight="false" outlineLevel="0" collapsed="false">
      <c r="A195" s="51" t="n">
        <v>5276</v>
      </c>
      <c r="B195" s="52" t="n">
        <v>12</v>
      </c>
    </row>
    <row r="196" customFormat="false" ht="17" hidden="false" customHeight="false" outlineLevel="0" collapsed="false">
      <c r="A196" s="51" t="n">
        <v>3782</v>
      </c>
      <c r="B196" s="52" t="n">
        <v>12</v>
      </c>
    </row>
    <row r="197" customFormat="false" ht="17" hidden="false" customHeight="false" outlineLevel="0" collapsed="false">
      <c r="A197" s="51" t="n">
        <v>3795</v>
      </c>
      <c r="B197" s="52" t="n">
        <v>12</v>
      </c>
    </row>
    <row r="198" customFormat="false" ht="17" hidden="false" customHeight="false" outlineLevel="0" collapsed="false">
      <c r="A198" s="51" t="n">
        <v>5732</v>
      </c>
      <c r="B198" s="52" t="n">
        <v>12</v>
      </c>
    </row>
    <row r="199" customFormat="false" ht="17" hidden="false" customHeight="false" outlineLevel="0" collapsed="false">
      <c r="A199" s="51" t="n">
        <v>3799</v>
      </c>
      <c r="B199" s="52" t="n">
        <v>12</v>
      </c>
    </row>
    <row r="200" customFormat="false" ht="17" hidden="false" customHeight="false" outlineLevel="0" collapsed="false">
      <c r="A200" s="51" t="n">
        <v>3805</v>
      </c>
      <c r="B200" s="52" t="n">
        <v>12</v>
      </c>
    </row>
    <row r="201" customFormat="false" ht="17" hidden="false" customHeight="false" outlineLevel="0" collapsed="false">
      <c r="A201" s="51" t="n">
        <v>3807</v>
      </c>
      <c r="B201" s="52" t="n">
        <v>12</v>
      </c>
    </row>
    <row r="202" customFormat="false" ht="17" hidden="false" customHeight="false" outlineLevel="0" collapsed="false">
      <c r="A202" s="51" t="n">
        <v>3808</v>
      </c>
      <c r="B202" s="52" t="n">
        <v>12</v>
      </c>
    </row>
    <row r="203" customFormat="false" ht="17" hidden="false" customHeight="false" outlineLevel="0" collapsed="false">
      <c r="A203" s="51" t="n">
        <v>3809</v>
      </c>
      <c r="B203" s="52" t="n">
        <v>12</v>
      </c>
    </row>
    <row r="204" customFormat="false" ht="17" hidden="false" customHeight="false" outlineLevel="0" collapsed="false">
      <c r="A204" s="51" t="n">
        <v>3873</v>
      </c>
      <c r="B204" s="52" t="n">
        <v>12</v>
      </c>
    </row>
    <row r="205" customFormat="false" ht="17" hidden="false" customHeight="false" outlineLevel="0" collapsed="false">
      <c r="A205" s="51" t="n">
        <v>3879</v>
      </c>
      <c r="B205" s="52" t="n">
        <v>12</v>
      </c>
    </row>
    <row r="206" customFormat="false" ht="17" hidden="false" customHeight="false" outlineLevel="0" collapsed="false">
      <c r="A206" s="51" t="n">
        <v>3880</v>
      </c>
      <c r="B206" s="52" t="n">
        <v>12</v>
      </c>
    </row>
    <row r="207" customFormat="false" ht="17" hidden="false" customHeight="false" outlineLevel="0" collapsed="false">
      <c r="A207" s="51" t="n">
        <v>3893</v>
      </c>
      <c r="B207" s="52" t="n">
        <v>12</v>
      </c>
    </row>
    <row r="208" customFormat="false" ht="17" hidden="false" customHeight="false" outlineLevel="0" collapsed="false">
      <c r="A208" s="51" t="n">
        <v>3917</v>
      </c>
      <c r="B208" s="52" t="n">
        <v>12</v>
      </c>
    </row>
    <row r="209" customFormat="false" ht="17" hidden="false" customHeight="false" outlineLevel="0" collapsed="false">
      <c r="A209" s="51" t="n">
        <v>3918</v>
      </c>
      <c r="B209" s="52" t="n">
        <v>12</v>
      </c>
    </row>
    <row r="210" customFormat="false" ht="17" hidden="false" customHeight="false" outlineLevel="0" collapsed="false">
      <c r="A210" s="51" t="n">
        <v>3925</v>
      </c>
      <c r="B210" s="52" t="n">
        <v>12</v>
      </c>
    </row>
    <row r="211" customFormat="false" ht="17" hidden="false" customHeight="false" outlineLevel="0" collapsed="false">
      <c r="A211" s="51" t="n">
        <v>3936</v>
      </c>
      <c r="B211" s="52" t="n">
        <v>12</v>
      </c>
    </row>
    <row r="212" customFormat="false" ht="17" hidden="false" customHeight="false" outlineLevel="0" collapsed="false">
      <c r="A212" s="51" t="n">
        <v>4012</v>
      </c>
      <c r="B212" s="52" t="n">
        <v>12</v>
      </c>
    </row>
    <row r="213" customFormat="false" ht="17" hidden="false" customHeight="false" outlineLevel="0" collapsed="false">
      <c r="A213" s="51" t="n">
        <v>5470</v>
      </c>
      <c r="B213" s="52" t="n">
        <v>12</v>
      </c>
    </row>
    <row r="214" customFormat="false" ht="15.8" hidden="false" customHeight="false" outlineLevel="0" collapsed="false">
      <c r="A214" s="53" t="n">
        <v>4030</v>
      </c>
      <c r="B214" s="52" t="n">
        <v>12</v>
      </c>
    </row>
    <row r="215" customFormat="false" ht="15.8" hidden="false" customHeight="false" outlineLevel="0" collapsed="false">
      <c r="A215" s="53" t="n">
        <v>4045</v>
      </c>
      <c r="B215" s="52" t="n">
        <v>12</v>
      </c>
    </row>
    <row r="216" customFormat="false" ht="15.8" hidden="false" customHeight="false" outlineLevel="0" collapsed="false">
      <c r="A216" s="53" t="n">
        <v>4070</v>
      </c>
      <c r="B216" s="52" t="n">
        <v>12</v>
      </c>
    </row>
    <row r="217" customFormat="false" ht="17" hidden="false" customHeight="false" outlineLevel="0" collapsed="false">
      <c r="A217" s="51" t="n">
        <v>4106</v>
      </c>
      <c r="B217" s="52" t="n">
        <v>12</v>
      </c>
    </row>
    <row r="218" customFormat="false" ht="15.8" hidden="false" customHeight="false" outlineLevel="0" collapsed="false">
      <c r="A218" s="54" t="n">
        <v>4111</v>
      </c>
      <c r="B218" s="52" t="n">
        <v>12</v>
      </c>
    </row>
    <row r="219" customFormat="false" ht="15.8" hidden="false" customHeight="false" outlineLevel="0" collapsed="false">
      <c r="A219" s="54" t="n">
        <v>4130</v>
      </c>
      <c r="B219" s="52" t="n">
        <v>12</v>
      </c>
    </row>
    <row r="220" customFormat="false" ht="15.8" hidden="false" customHeight="false" outlineLevel="0" collapsed="false">
      <c r="A220" s="55" t="n">
        <v>4145</v>
      </c>
      <c r="B220" s="52" t="n">
        <v>12</v>
      </c>
    </row>
    <row r="221" customFormat="false" ht="17" hidden="false" customHeight="false" outlineLevel="0" collapsed="false">
      <c r="A221" s="51" t="n">
        <v>5518</v>
      </c>
      <c r="B221" s="52" t="n">
        <v>12</v>
      </c>
    </row>
    <row r="222" customFormat="false" ht="17" hidden="false" customHeight="false" outlineLevel="0" collapsed="false">
      <c r="A222" s="56" t="n">
        <v>5733</v>
      </c>
      <c r="B222" s="52" t="n">
        <v>12</v>
      </c>
    </row>
    <row r="223" customFormat="false" ht="15.8" hidden="false" customHeight="false" outlineLevel="0" collapsed="false">
      <c r="A223" s="53" t="n">
        <v>5520</v>
      </c>
      <c r="B223" s="52" t="n">
        <v>12</v>
      </c>
    </row>
    <row r="224" customFormat="false" ht="15.8" hidden="false" customHeight="false" outlineLevel="0" collapsed="false">
      <c r="A224" s="53" t="n">
        <v>5728</v>
      </c>
      <c r="B224" s="52" t="n">
        <v>12</v>
      </c>
    </row>
    <row r="225" customFormat="false" ht="15.8" hidden="false" customHeight="false" outlineLevel="0" collapsed="false">
      <c r="A225" s="53" t="n">
        <v>6062</v>
      </c>
      <c r="B225" s="52" t="n">
        <v>12</v>
      </c>
    </row>
    <row r="226" customFormat="false" ht="15.8" hidden="false" customHeight="false" outlineLevel="0" collapsed="false">
      <c r="A226" s="53" t="n">
        <v>6088</v>
      </c>
      <c r="B226" s="52" t="n">
        <v>12</v>
      </c>
    </row>
    <row r="227" customFormat="false" ht="15.8" hidden="false" customHeight="false" outlineLevel="0" collapsed="false">
      <c r="A227" s="53" t="n">
        <v>6192</v>
      </c>
      <c r="B227" s="52" t="n">
        <v>12</v>
      </c>
    </row>
    <row r="228" customFormat="false" ht="15.8" hidden="false" customHeight="false" outlineLevel="0" collapsed="false">
      <c r="A228" s="53" t="n">
        <v>6250</v>
      </c>
      <c r="B228" s="52" t="n">
        <v>12</v>
      </c>
    </row>
    <row r="229" customFormat="false" ht="15.8" hidden="false" customHeight="false" outlineLevel="0" collapsed="false">
      <c r="A229" s="53" t="n">
        <v>6276</v>
      </c>
      <c r="B229" s="52" t="n">
        <v>12</v>
      </c>
    </row>
    <row r="230" customFormat="false" ht="15.8" hidden="false" customHeight="false" outlineLevel="0" collapsed="false">
      <c r="A230" s="53" t="n">
        <v>6376</v>
      </c>
      <c r="B230" s="52" t="n">
        <v>12</v>
      </c>
    </row>
    <row r="231" customFormat="false" ht="17" hidden="false" customHeight="false" outlineLevel="0" collapsed="false">
      <c r="A231" s="51" t="n">
        <v>4218</v>
      </c>
      <c r="B231" s="52" t="n">
        <v>12</v>
      </c>
    </row>
    <row r="232" customFormat="false" ht="15.8" hidden="false" customHeight="false" outlineLevel="0" collapsed="false">
      <c r="A232" s="53" t="n">
        <v>4363</v>
      </c>
      <c r="B232" s="52" t="n">
        <v>12</v>
      </c>
    </row>
    <row r="233" customFormat="false" ht="15.8" hidden="false" customHeight="false" outlineLevel="0" collapsed="false">
      <c r="A233" s="53" t="n">
        <v>4370</v>
      </c>
      <c r="B233" s="52" t="n">
        <v>12</v>
      </c>
    </row>
    <row r="234" customFormat="false" ht="17" hidden="false" customHeight="false" outlineLevel="0" collapsed="false">
      <c r="A234" s="51" t="n">
        <v>5262</v>
      </c>
      <c r="B234" s="52" t="n">
        <v>12</v>
      </c>
    </row>
    <row r="235" customFormat="false" ht="17" hidden="false" customHeight="false" outlineLevel="0" collapsed="false">
      <c r="A235" s="56" t="n">
        <v>5033</v>
      </c>
      <c r="B235" s="52" t="n">
        <v>12</v>
      </c>
    </row>
    <row r="236" customFormat="false" ht="17" hidden="false" customHeight="false" outlineLevel="0" collapsed="false">
      <c r="A236" s="51" t="n">
        <v>5377</v>
      </c>
      <c r="B236" s="52" t="n">
        <v>12</v>
      </c>
    </row>
    <row r="237" customFormat="false" ht="17" hidden="false" customHeight="false" outlineLevel="0" collapsed="false">
      <c r="A237" s="56" t="n">
        <v>4426</v>
      </c>
      <c r="B237" s="52" t="n">
        <v>12</v>
      </c>
    </row>
    <row r="238" customFormat="false" ht="17" hidden="false" customHeight="false" outlineLevel="0" collapsed="false">
      <c r="A238" s="51" t="n">
        <v>5683</v>
      </c>
      <c r="B238" s="52" t="n">
        <v>12</v>
      </c>
    </row>
    <row r="239" customFormat="false" ht="17" hidden="false" customHeight="false" outlineLevel="0" collapsed="false">
      <c r="A239" s="51" t="n">
        <v>5688</v>
      </c>
      <c r="B239" s="52" t="n">
        <v>12</v>
      </c>
    </row>
    <row r="240" customFormat="false" ht="17" hidden="false" customHeight="false" outlineLevel="0" collapsed="false">
      <c r="A240" s="51" t="n">
        <v>5745</v>
      </c>
      <c r="B240" s="52" t="n">
        <v>12</v>
      </c>
    </row>
    <row r="241" customFormat="false" ht="17" hidden="false" customHeight="false" outlineLevel="0" collapsed="false">
      <c r="A241" s="51" t="n">
        <v>6008</v>
      </c>
      <c r="B241" s="52" t="n">
        <v>12</v>
      </c>
    </row>
    <row r="242" customFormat="false" ht="17" hidden="false" customHeight="false" outlineLevel="0" collapsed="false">
      <c r="A242" s="51" t="n">
        <v>6154</v>
      </c>
      <c r="B242" s="52" t="n">
        <v>12</v>
      </c>
    </row>
    <row r="243" customFormat="false" ht="17" hidden="false" customHeight="false" outlineLevel="0" collapsed="false">
      <c r="A243" s="51" t="n">
        <v>6193</v>
      </c>
      <c r="B243" s="52" t="n">
        <v>12</v>
      </c>
    </row>
    <row r="244" customFormat="false" ht="17" hidden="false" customHeight="false" outlineLevel="0" collapsed="false">
      <c r="A244" s="51" t="n">
        <v>6198</v>
      </c>
      <c r="B244" s="52" t="n">
        <v>12</v>
      </c>
    </row>
    <row r="245" customFormat="false" ht="17" hidden="false" customHeight="false" outlineLevel="0" collapsed="false">
      <c r="A245" s="51" t="n">
        <v>6274</v>
      </c>
      <c r="B245" s="52" t="n">
        <v>12</v>
      </c>
    </row>
    <row r="246" customFormat="false" ht="17" hidden="false" customHeight="false" outlineLevel="0" collapsed="false">
      <c r="A246" s="51" t="n">
        <v>6279</v>
      </c>
      <c r="B246" s="52" t="n">
        <v>12</v>
      </c>
    </row>
    <row r="247" customFormat="false" ht="17" hidden="false" customHeight="false" outlineLevel="0" collapsed="false">
      <c r="A247" s="51" t="n">
        <v>6310</v>
      </c>
      <c r="B247" s="52" t="n">
        <v>12</v>
      </c>
    </row>
    <row r="248" customFormat="false" ht="17" hidden="false" customHeight="false" outlineLevel="0" collapsed="false">
      <c r="A248" s="51" t="n">
        <v>6352</v>
      </c>
      <c r="B248" s="52" t="n">
        <v>12</v>
      </c>
    </row>
    <row r="249" customFormat="false" ht="17" hidden="false" customHeight="false" outlineLevel="0" collapsed="false">
      <c r="A249" s="51" t="n">
        <v>6361</v>
      </c>
      <c r="B249" s="52" t="n">
        <v>12</v>
      </c>
    </row>
    <row r="250" customFormat="false" ht="17" hidden="false" customHeight="false" outlineLevel="0" collapsed="false">
      <c r="A250" s="51" t="n">
        <v>6362</v>
      </c>
      <c r="B250" s="52" t="n">
        <v>12</v>
      </c>
    </row>
    <row r="251" customFormat="false" ht="17" hidden="false" customHeight="false" outlineLevel="0" collapsed="false">
      <c r="A251" s="51" t="n">
        <v>6372</v>
      </c>
      <c r="B251" s="52" t="n">
        <v>12</v>
      </c>
    </row>
    <row r="252" customFormat="false" ht="17" hidden="false" customHeight="false" outlineLevel="0" collapsed="false">
      <c r="A252" s="51" t="n">
        <v>6452</v>
      </c>
      <c r="B252" s="52" t="n">
        <v>12</v>
      </c>
    </row>
    <row r="253" customFormat="false" ht="17" hidden="false" customHeight="false" outlineLevel="0" collapsed="false">
      <c r="A253" s="51" t="n">
        <v>6485</v>
      </c>
      <c r="B253" s="52" t="n">
        <v>12</v>
      </c>
    </row>
    <row r="254" customFormat="false" ht="17" hidden="false" customHeight="false" outlineLevel="0" collapsed="false">
      <c r="A254" s="57" t="n">
        <v>6499</v>
      </c>
      <c r="B254" s="52" t="n">
        <v>12</v>
      </c>
    </row>
    <row r="255" customFormat="false" ht="17" hidden="false" customHeight="false" outlineLevel="0" collapsed="false">
      <c r="A255" s="56" t="n">
        <v>5356</v>
      </c>
      <c r="B255" s="52" t="n">
        <v>12</v>
      </c>
    </row>
    <row r="256" customFormat="false" ht="17" hidden="false" customHeight="false" outlineLevel="0" collapsed="false">
      <c r="A256" s="56" t="n">
        <v>5428</v>
      </c>
      <c r="B256" s="52" t="n">
        <v>12</v>
      </c>
    </row>
    <row r="257" customFormat="false" ht="17" hidden="false" customHeight="false" outlineLevel="0" collapsed="false">
      <c r="A257" s="56" t="n">
        <v>5986</v>
      </c>
      <c r="B257" s="52" t="n">
        <v>12</v>
      </c>
    </row>
    <row r="258" customFormat="false" ht="17" hidden="false" customHeight="false" outlineLevel="0" collapsed="false">
      <c r="A258" s="56" t="n">
        <v>6080</v>
      </c>
      <c r="B258" s="52" t="n">
        <v>12</v>
      </c>
    </row>
    <row r="259" customFormat="false" ht="17" hidden="false" customHeight="false" outlineLevel="0" collapsed="false">
      <c r="A259" s="56" t="n">
        <v>6094</v>
      </c>
      <c r="B259" s="52" t="n">
        <v>12</v>
      </c>
    </row>
    <row r="260" customFormat="false" ht="17" hidden="false" customHeight="false" outlineLevel="0" collapsed="false">
      <c r="A260" s="56" t="n">
        <v>6131</v>
      </c>
      <c r="B260" s="52" t="n">
        <v>12</v>
      </c>
    </row>
    <row r="261" customFormat="false" ht="17" hidden="false" customHeight="false" outlineLevel="0" collapsed="false">
      <c r="A261" s="56" t="n">
        <v>6152</v>
      </c>
      <c r="B261" s="52" t="n">
        <v>12</v>
      </c>
    </row>
    <row r="262" customFormat="false" ht="17" hidden="false" customHeight="false" outlineLevel="0" collapsed="false">
      <c r="A262" s="56" t="n">
        <v>6189</v>
      </c>
      <c r="B262" s="52" t="n">
        <v>12</v>
      </c>
    </row>
    <row r="263" customFormat="false" ht="17" hidden="false" customHeight="false" outlineLevel="0" collapsed="false">
      <c r="A263" s="56" t="n">
        <v>6201</v>
      </c>
      <c r="B263" s="52" t="n">
        <v>12</v>
      </c>
    </row>
    <row r="264" customFormat="false" ht="17" hidden="false" customHeight="false" outlineLevel="0" collapsed="false">
      <c r="A264" s="56" t="n">
        <v>6260</v>
      </c>
      <c r="B264" s="52" t="n">
        <v>12</v>
      </c>
    </row>
    <row r="265" customFormat="false" ht="17" hidden="false" customHeight="false" outlineLevel="0" collapsed="false">
      <c r="A265" s="56" t="n">
        <v>6266</v>
      </c>
      <c r="B265" s="52" t="n">
        <v>12</v>
      </c>
    </row>
    <row r="266" customFormat="false" ht="17" hidden="false" customHeight="false" outlineLevel="0" collapsed="false">
      <c r="A266" s="56" t="n">
        <v>6414</v>
      </c>
      <c r="B266" s="52" t="n">
        <v>12</v>
      </c>
    </row>
    <row r="267" customFormat="false" ht="17" hidden="false" customHeight="false" outlineLevel="0" collapsed="false">
      <c r="A267" s="56" t="n">
        <v>6426</v>
      </c>
      <c r="B267" s="52" t="n">
        <v>12</v>
      </c>
    </row>
    <row r="268" customFormat="false" ht="17" hidden="false" customHeight="false" outlineLevel="0" collapsed="false">
      <c r="A268" s="58" t="n">
        <v>6493</v>
      </c>
      <c r="B268" s="52" t="n">
        <v>12</v>
      </c>
    </row>
    <row r="269" customFormat="false" ht="17" hidden="false" customHeight="false" outlineLevel="0" collapsed="false">
      <c r="A269" s="58" t="n">
        <v>6494</v>
      </c>
      <c r="B269" s="52" t="n">
        <v>12</v>
      </c>
    </row>
    <row r="270" customFormat="false" ht="17" hidden="false" customHeight="false" outlineLevel="0" collapsed="false">
      <c r="A270" s="56" t="n">
        <v>6278</v>
      </c>
      <c r="B270" s="52" t="n">
        <v>12</v>
      </c>
    </row>
    <row r="271" customFormat="false" ht="17" hidden="false" customHeight="false" outlineLevel="0" collapsed="false">
      <c r="A271" s="56" t="n">
        <v>6271</v>
      </c>
      <c r="B271" s="52" t="n">
        <v>12</v>
      </c>
    </row>
    <row r="272" customFormat="false" ht="17" hidden="false" customHeight="false" outlineLevel="0" collapsed="false">
      <c r="A272" s="56" t="n">
        <v>6277</v>
      </c>
      <c r="B272" s="52" t="n">
        <v>12</v>
      </c>
    </row>
    <row r="273" customFormat="false" ht="17" hidden="false" customHeight="false" outlineLevel="0" collapsed="false">
      <c r="A273" s="56" t="n">
        <v>6418</v>
      </c>
      <c r="B273" s="52" t="n">
        <v>12</v>
      </c>
    </row>
    <row r="274" customFormat="false" ht="15.8" hidden="false" customHeight="false" outlineLevel="0" collapsed="false">
      <c r="A274" s="53" t="n">
        <v>5035</v>
      </c>
      <c r="B274" s="52" t="n">
        <v>12</v>
      </c>
    </row>
    <row r="275" customFormat="false" ht="17" hidden="false" customHeight="false" outlineLevel="0" collapsed="false">
      <c r="A275" s="51" t="n">
        <v>4452</v>
      </c>
      <c r="B275" s="52" t="n">
        <v>12</v>
      </c>
    </row>
    <row r="276" customFormat="false" ht="17" hidden="false" customHeight="false" outlineLevel="0" collapsed="false">
      <c r="A276" s="51" t="n">
        <v>4529</v>
      </c>
      <c r="B276" s="52" t="n">
        <v>12</v>
      </c>
    </row>
    <row r="277" customFormat="false" ht="15.8" hidden="false" customHeight="false" outlineLevel="0" collapsed="false">
      <c r="A277" s="52" t="n">
        <v>4482</v>
      </c>
      <c r="B277" s="52" t="n">
        <v>12</v>
      </c>
    </row>
    <row r="278" customFormat="false" ht="15.8" hidden="false" customHeight="false" outlineLevel="0" collapsed="false">
      <c r="A278" s="53" t="n">
        <v>5091</v>
      </c>
      <c r="B278" s="52" t="n">
        <v>12</v>
      </c>
    </row>
    <row r="279" customFormat="false" ht="15.8" hidden="false" customHeight="false" outlineLevel="0" collapsed="false">
      <c r="A279" s="53" t="n">
        <v>4500</v>
      </c>
      <c r="B279" s="52" t="n">
        <v>12</v>
      </c>
    </row>
    <row r="280" customFormat="false" ht="15.8" hidden="false" customHeight="false" outlineLevel="0" collapsed="false">
      <c r="A280" s="53" t="n">
        <v>4536</v>
      </c>
      <c r="B280" s="52" t="n">
        <v>12</v>
      </c>
    </row>
    <row r="281" customFormat="false" ht="15.8" hidden="false" customHeight="false" outlineLevel="0" collapsed="false">
      <c r="A281" s="53" t="n">
        <v>4562</v>
      </c>
      <c r="B281" s="52" t="n">
        <v>12</v>
      </c>
    </row>
    <row r="282" customFormat="false" ht="17" hidden="false" customHeight="false" outlineLevel="0" collapsed="false">
      <c r="A282" s="51" t="n">
        <v>5085</v>
      </c>
      <c r="B282" s="52" t="n">
        <v>12</v>
      </c>
    </row>
    <row r="283" customFormat="false" ht="15.8" hidden="false" customHeight="false" outlineLevel="0" collapsed="false">
      <c r="A283" s="53" t="n">
        <v>5098</v>
      </c>
      <c r="B283" s="52" t="n">
        <v>12</v>
      </c>
    </row>
    <row r="284" customFormat="false" ht="15.8" hidden="false" customHeight="false" outlineLevel="0" collapsed="false">
      <c r="A284" s="53" t="n">
        <v>5102</v>
      </c>
      <c r="B284" s="52" t="n">
        <v>12</v>
      </c>
    </row>
    <row r="285" customFormat="false" ht="15.8" hidden="false" customHeight="false" outlineLevel="0" collapsed="false">
      <c r="A285" s="53" t="n">
        <v>5103</v>
      </c>
      <c r="B285" s="52" t="n">
        <v>12</v>
      </c>
    </row>
    <row r="286" customFormat="false" ht="15.8" hidden="false" customHeight="false" outlineLevel="0" collapsed="false">
      <c r="A286" s="53" t="n">
        <v>5175</v>
      </c>
      <c r="B286" s="52" t="n">
        <v>12</v>
      </c>
    </row>
    <row r="287" customFormat="false" ht="15.8" hidden="false" customHeight="false" outlineLevel="0" collapsed="false">
      <c r="A287" s="53" t="n">
        <v>5397</v>
      </c>
      <c r="B287" s="52" t="n">
        <v>12</v>
      </c>
    </row>
    <row r="288" customFormat="false" ht="15.8" hidden="false" customHeight="false" outlineLevel="0" collapsed="false">
      <c r="A288" s="53" t="n">
        <v>5408</v>
      </c>
      <c r="B288" s="52" t="n">
        <v>12</v>
      </c>
    </row>
    <row r="289" customFormat="false" ht="15.8" hidden="false" customHeight="false" outlineLevel="0" collapsed="false">
      <c r="A289" s="53" t="n">
        <v>5499</v>
      </c>
      <c r="B289" s="52" t="n">
        <v>12</v>
      </c>
    </row>
    <row r="290" customFormat="false" ht="15.8" hidden="false" customHeight="false" outlineLevel="0" collapsed="false">
      <c r="A290" s="53" t="n">
        <v>5589</v>
      </c>
      <c r="B290" s="52" t="n">
        <v>12</v>
      </c>
    </row>
    <row r="291" customFormat="false" ht="15.8" hidden="false" customHeight="false" outlineLevel="0" collapsed="false">
      <c r="A291" s="53" t="n">
        <v>5711</v>
      </c>
      <c r="B291" s="52" t="n">
        <v>12</v>
      </c>
    </row>
    <row r="292" customFormat="false" ht="15.8" hidden="false" customHeight="false" outlineLevel="0" collapsed="false">
      <c r="A292" s="53" t="n">
        <v>5819</v>
      </c>
      <c r="B292" s="52" t="n">
        <v>12</v>
      </c>
    </row>
    <row r="293" customFormat="false" ht="15.8" hidden="false" customHeight="false" outlineLevel="0" collapsed="false">
      <c r="A293" s="53" t="n">
        <v>5904</v>
      </c>
      <c r="B293" s="52" t="n">
        <v>12</v>
      </c>
    </row>
    <row r="294" customFormat="false" ht="15.8" hidden="false" customHeight="false" outlineLevel="0" collapsed="false">
      <c r="A294" s="53" t="n">
        <v>5905</v>
      </c>
      <c r="B294" s="52" t="n">
        <v>12</v>
      </c>
    </row>
    <row r="295" customFormat="false" ht="15.8" hidden="false" customHeight="false" outlineLevel="0" collapsed="false">
      <c r="A295" s="53" t="n">
        <v>5964</v>
      </c>
      <c r="B295" s="52" t="n">
        <v>12</v>
      </c>
    </row>
    <row r="296" customFormat="false" ht="15.8" hidden="false" customHeight="false" outlineLevel="0" collapsed="false">
      <c r="A296" s="53" t="n">
        <v>5974</v>
      </c>
      <c r="B296" s="52" t="n">
        <v>12</v>
      </c>
    </row>
    <row r="297" customFormat="false" ht="15.8" hidden="false" customHeight="false" outlineLevel="0" collapsed="false">
      <c r="A297" s="53" t="n">
        <v>6043</v>
      </c>
      <c r="B297" s="52" t="n">
        <v>12</v>
      </c>
    </row>
    <row r="298" customFormat="false" ht="15.8" hidden="false" customHeight="false" outlineLevel="0" collapsed="false">
      <c r="A298" s="53" t="n">
        <v>6112</v>
      </c>
      <c r="B298" s="52" t="n">
        <v>12</v>
      </c>
    </row>
    <row r="299" customFormat="false" ht="15.8" hidden="false" customHeight="false" outlineLevel="0" collapsed="false">
      <c r="A299" s="53" t="n">
        <v>6138</v>
      </c>
      <c r="B299" s="52" t="n">
        <v>12</v>
      </c>
    </row>
    <row r="300" customFormat="false" ht="15.8" hidden="false" customHeight="false" outlineLevel="0" collapsed="false">
      <c r="A300" s="53" t="n">
        <v>6188</v>
      </c>
      <c r="B300" s="52" t="n">
        <v>12</v>
      </c>
    </row>
    <row r="301" customFormat="false" ht="15.8" hidden="false" customHeight="false" outlineLevel="0" collapsed="false">
      <c r="A301" s="53" t="n">
        <v>6190</v>
      </c>
      <c r="B301" s="52" t="n">
        <v>12</v>
      </c>
    </row>
    <row r="302" customFormat="false" ht="15.8" hidden="false" customHeight="false" outlineLevel="0" collapsed="false">
      <c r="A302" s="53" t="n">
        <v>6206</v>
      </c>
      <c r="B302" s="52" t="n">
        <v>12</v>
      </c>
    </row>
    <row r="303" customFormat="false" ht="15.8" hidden="false" customHeight="false" outlineLevel="0" collapsed="false">
      <c r="A303" s="53" t="n">
        <v>6236</v>
      </c>
      <c r="B303" s="52" t="n">
        <v>12</v>
      </c>
    </row>
    <row r="304" customFormat="false" ht="15.8" hidden="false" customHeight="false" outlineLevel="0" collapsed="false">
      <c r="A304" s="53" t="n">
        <v>6249</v>
      </c>
      <c r="B304" s="52" t="n">
        <v>12</v>
      </c>
    </row>
    <row r="305" customFormat="false" ht="15.8" hidden="false" customHeight="false" outlineLevel="0" collapsed="false">
      <c r="A305" s="53" t="n">
        <v>6316</v>
      </c>
      <c r="B305" s="52" t="n">
        <v>12</v>
      </c>
    </row>
    <row r="306" customFormat="false" ht="15.8" hidden="false" customHeight="false" outlineLevel="0" collapsed="false">
      <c r="A306" s="53" t="n">
        <v>6328</v>
      </c>
      <c r="B306" s="52" t="n">
        <v>12</v>
      </c>
    </row>
    <row r="307" customFormat="false" ht="15.8" hidden="false" customHeight="false" outlineLevel="0" collapsed="false">
      <c r="A307" s="53" t="n">
        <v>6360</v>
      </c>
      <c r="B307" s="52" t="n">
        <v>12</v>
      </c>
    </row>
    <row r="308" customFormat="false" ht="15.8" hidden="false" customHeight="false" outlineLevel="0" collapsed="false">
      <c r="A308" s="53" t="n">
        <v>6415</v>
      </c>
      <c r="B308" s="52" t="n">
        <v>12</v>
      </c>
    </row>
    <row r="309" customFormat="false" ht="15.8" hidden="false" customHeight="false" outlineLevel="0" collapsed="false">
      <c r="A309" s="53" t="n">
        <v>6425</v>
      </c>
      <c r="B309" s="52" t="n">
        <v>12</v>
      </c>
    </row>
    <row r="310" customFormat="false" ht="15.8" hidden="false" customHeight="false" outlineLevel="0" collapsed="false">
      <c r="A310" s="59" t="n">
        <v>6492</v>
      </c>
      <c r="B310" s="52" t="n">
        <v>12</v>
      </c>
    </row>
    <row r="311" customFormat="false" ht="17" hidden="false" customHeight="false" outlineLevel="0" collapsed="false">
      <c r="A311" s="51" t="s">
        <v>1668</v>
      </c>
      <c r="B311" s="52" t="n">
        <v>12</v>
      </c>
    </row>
    <row r="312" customFormat="false" ht="17" hidden="false" customHeight="false" outlineLevel="0" collapsed="false">
      <c r="A312" s="51" t="s">
        <v>1676</v>
      </c>
      <c r="B312" s="52" t="n">
        <v>12</v>
      </c>
    </row>
    <row r="313" customFormat="false" ht="17" hidden="false" customHeight="false" outlineLevel="0" collapsed="false">
      <c r="A313" s="51" t="s">
        <v>1679</v>
      </c>
      <c r="B313" s="52" t="n">
        <v>12</v>
      </c>
    </row>
    <row r="314" customFormat="false" ht="17" hidden="false" customHeight="false" outlineLevel="0" collapsed="false">
      <c r="A314" s="51" t="n">
        <v>5458</v>
      </c>
      <c r="B314" s="52" t="n">
        <v>12</v>
      </c>
    </row>
    <row r="315" customFormat="false" ht="17" hidden="false" customHeight="false" outlineLevel="0" collapsed="false">
      <c r="A315" s="60" t="n">
        <v>5906</v>
      </c>
      <c r="B315" s="52" t="n">
        <v>12</v>
      </c>
    </row>
    <row r="316" customFormat="false" ht="17" hidden="false" customHeight="false" outlineLevel="0" collapsed="false">
      <c r="A316" s="60" t="n">
        <v>5914</v>
      </c>
      <c r="B316" s="52" t="n">
        <v>12</v>
      </c>
    </row>
    <row r="317" customFormat="false" ht="17" hidden="false" customHeight="false" outlineLevel="0" collapsed="false">
      <c r="A317" s="60" t="n">
        <v>5922</v>
      </c>
      <c r="B317" s="52" t="n">
        <v>12</v>
      </c>
    </row>
    <row r="318" customFormat="false" ht="17" hidden="false" customHeight="false" outlineLevel="0" collapsed="false">
      <c r="A318" s="60" t="n">
        <v>5942</v>
      </c>
      <c r="B318" s="52" t="n">
        <v>12</v>
      </c>
    </row>
    <row r="319" customFormat="false" ht="17" hidden="false" customHeight="false" outlineLevel="0" collapsed="false">
      <c r="A319" s="60" t="n">
        <v>5977</v>
      </c>
      <c r="B319" s="52" t="n">
        <v>12</v>
      </c>
    </row>
    <row r="320" customFormat="false" ht="17" hidden="false" customHeight="false" outlineLevel="0" collapsed="false">
      <c r="A320" s="56" t="n">
        <v>6039</v>
      </c>
      <c r="B320" s="52" t="n">
        <v>12</v>
      </c>
    </row>
    <row r="321" customFormat="false" ht="17" hidden="false" customHeight="false" outlineLevel="0" collapsed="false">
      <c r="A321" s="56" t="n">
        <v>6146</v>
      </c>
      <c r="B321" s="52" t="n">
        <v>12</v>
      </c>
    </row>
    <row r="322" customFormat="false" ht="17" hidden="false" customHeight="false" outlineLevel="0" collapsed="false">
      <c r="A322" s="56" t="n">
        <v>6197</v>
      </c>
      <c r="B322" s="52" t="n">
        <v>12</v>
      </c>
    </row>
    <row r="323" customFormat="false" ht="17" hidden="false" customHeight="false" outlineLevel="0" collapsed="false">
      <c r="A323" s="56" t="n">
        <v>6205</v>
      </c>
      <c r="B323" s="52" t="n">
        <v>12</v>
      </c>
    </row>
    <row r="324" customFormat="false" ht="17" hidden="false" customHeight="false" outlineLevel="0" collapsed="false">
      <c r="A324" s="56" t="n">
        <v>6264</v>
      </c>
      <c r="B324" s="52" t="n">
        <v>12</v>
      </c>
    </row>
    <row r="325" customFormat="false" ht="17" hidden="false" customHeight="false" outlineLevel="0" collapsed="false">
      <c r="A325" s="51" t="n">
        <v>6350</v>
      </c>
      <c r="B325" s="52" t="n">
        <v>12</v>
      </c>
    </row>
    <row r="326" customFormat="false" ht="17" hidden="false" customHeight="false" outlineLevel="0" collapsed="false">
      <c r="A326" s="51" t="n">
        <v>6451</v>
      </c>
      <c r="B326" s="52" t="n">
        <v>12</v>
      </c>
    </row>
    <row r="327" customFormat="false" ht="17" hidden="false" customHeight="false" outlineLevel="0" collapsed="false">
      <c r="A327" s="51" t="n">
        <v>6488</v>
      </c>
      <c r="B327" s="52" t="n">
        <v>12</v>
      </c>
    </row>
    <row r="328" customFormat="false" ht="17" hidden="false" customHeight="false" outlineLevel="0" collapsed="false">
      <c r="A328" s="51" t="n">
        <v>6490</v>
      </c>
      <c r="B328" s="52" t="n">
        <v>12</v>
      </c>
    </row>
    <row r="329" customFormat="false" ht="17" hidden="false" customHeight="false" outlineLevel="0" collapsed="false">
      <c r="A329" s="60" t="n">
        <v>5471</v>
      </c>
      <c r="B329" s="52" t="n">
        <v>12</v>
      </c>
    </row>
    <row r="330" customFormat="false" ht="17" hidden="false" customHeight="false" outlineLevel="0" collapsed="false">
      <c r="A330" s="51" t="n">
        <v>5487</v>
      </c>
      <c r="B330" s="52" t="n">
        <v>12</v>
      </c>
    </row>
    <row r="331" customFormat="false" ht="15.8" hidden="false" customHeight="false" outlineLevel="0" collapsed="false">
      <c r="A331" s="52" t="n">
        <v>5241</v>
      </c>
      <c r="B331" s="52" t="n">
        <v>12</v>
      </c>
    </row>
    <row r="332" customFormat="false" ht="15.8" hidden="false" customHeight="false" outlineLevel="0" collapsed="false">
      <c r="A332" s="52" t="n">
        <v>5691</v>
      </c>
      <c r="B332" s="52" t="n">
        <v>12</v>
      </c>
    </row>
    <row r="333" customFormat="false" ht="15.8" hidden="false" customHeight="false" outlineLevel="0" collapsed="false">
      <c r="A333" s="52" t="n">
        <v>5699</v>
      </c>
      <c r="B333" s="52" t="n">
        <v>12</v>
      </c>
    </row>
    <row r="334" customFormat="false" ht="15.8" hidden="false" customHeight="false" outlineLevel="0" collapsed="false">
      <c r="A334" s="52" t="n">
        <v>6044</v>
      </c>
      <c r="B334" s="52" t="n">
        <v>12</v>
      </c>
    </row>
    <row r="335" customFormat="false" ht="15.8" hidden="false" customHeight="false" outlineLevel="0" collapsed="false">
      <c r="A335" s="52" t="n">
        <v>6143</v>
      </c>
      <c r="B335" s="52" t="n">
        <v>12</v>
      </c>
    </row>
    <row r="336" customFormat="false" ht="15.8" hidden="false" customHeight="false" outlineLevel="0" collapsed="false">
      <c r="A336" s="52" t="n">
        <v>6167</v>
      </c>
      <c r="B336" s="52" t="n">
        <v>12</v>
      </c>
    </row>
    <row r="337" customFormat="false" ht="15.8" hidden="false" customHeight="false" outlineLevel="0" collapsed="false">
      <c r="A337" s="52" t="n">
        <v>6265</v>
      </c>
      <c r="B337" s="52" t="n">
        <v>12</v>
      </c>
    </row>
    <row r="338" customFormat="false" ht="15.8" hidden="false" customHeight="false" outlineLevel="0" collapsed="false">
      <c r="A338" s="52" t="n">
        <v>6326</v>
      </c>
      <c r="B338" s="52" t="n">
        <v>12</v>
      </c>
    </row>
    <row r="339" customFormat="false" ht="15.8" hidden="false" customHeight="false" outlineLevel="0" collapsed="false">
      <c r="A339" s="52" t="n">
        <v>6332</v>
      </c>
      <c r="B339" s="52" t="n">
        <v>12</v>
      </c>
    </row>
    <row r="340" customFormat="false" ht="15.8" hidden="false" customHeight="false" outlineLevel="0" collapsed="false">
      <c r="A340" s="61" t="n">
        <v>6504</v>
      </c>
      <c r="B340" s="52" t="n">
        <v>12</v>
      </c>
    </row>
    <row r="341" customFormat="false" ht="17" hidden="false" customHeight="false" outlineLevel="0" collapsed="false">
      <c r="A341" s="51" t="n">
        <v>5483</v>
      </c>
      <c r="B341" s="52" t="n">
        <v>12</v>
      </c>
    </row>
    <row r="342" customFormat="false" ht="17" hidden="false" customHeight="false" outlineLevel="0" collapsed="false">
      <c r="A342" s="51" t="n">
        <v>5731</v>
      </c>
      <c r="B342" s="52" t="n">
        <v>12</v>
      </c>
    </row>
    <row r="343" customFormat="false" ht="17" hidden="false" customHeight="false" outlineLevel="0" collapsed="false">
      <c r="A343" s="51" t="n">
        <v>5948</v>
      </c>
      <c r="B343" s="52" t="n">
        <v>12</v>
      </c>
    </row>
    <row r="344" customFormat="false" ht="17" hidden="false" customHeight="false" outlineLevel="0" collapsed="false">
      <c r="A344" s="51" t="n">
        <v>6280</v>
      </c>
      <c r="B344" s="52" t="n">
        <v>12</v>
      </c>
    </row>
    <row r="345" customFormat="false" ht="17" hidden="false" customHeight="false" outlineLevel="0" collapsed="false">
      <c r="A345" s="51" t="n">
        <v>6375</v>
      </c>
      <c r="B345" s="52" t="n">
        <v>12</v>
      </c>
    </row>
    <row r="346" customFormat="false" ht="17" hidden="false" customHeight="false" outlineLevel="0" collapsed="false">
      <c r="A346" s="60" t="n">
        <v>5407</v>
      </c>
      <c r="B346" s="52" t="n">
        <v>12</v>
      </c>
    </row>
    <row r="347" customFormat="false" ht="17" hidden="false" customHeight="false" outlineLevel="0" collapsed="false">
      <c r="A347" s="60" t="n">
        <v>5590</v>
      </c>
      <c r="B347" s="52" t="n">
        <v>12</v>
      </c>
    </row>
    <row r="348" customFormat="false" ht="17" hidden="false" customHeight="false" outlineLevel="0" collapsed="false">
      <c r="A348" s="60" t="n">
        <v>5591</v>
      </c>
      <c r="B348" s="52" t="n">
        <v>12</v>
      </c>
    </row>
    <row r="349" customFormat="false" ht="17" hidden="false" customHeight="false" outlineLevel="0" collapsed="false">
      <c r="A349" s="60" t="n">
        <v>5769</v>
      </c>
      <c r="B349" s="52" t="n">
        <v>12</v>
      </c>
    </row>
    <row r="350" customFormat="false" ht="17" hidden="false" customHeight="false" outlineLevel="0" collapsed="false">
      <c r="A350" s="60" t="n">
        <v>5814</v>
      </c>
      <c r="B350" s="52" t="n">
        <v>12</v>
      </c>
    </row>
    <row r="351" customFormat="false" ht="17" hidden="false" customHeight="false" outlineLevel="0" collapsed="false">
      <c r="A351" s="60" t="n">
        <v>5890</v>
      </c>
      <c r="B351" s="52" t="n">
        <v>12</v>
      </c>
    </row>
    <row r="352" customFormat="false" ht="17" hidden="false" customHeight="false" outlineLevel="0" collapsed="false">
      <c r="A352" s="60" t="n">
        <v>5970</v>
      </c>
      <c r="B352" s="52" t="n">
        <v>12</v>
      </c>
    </row>
    <row r="353" customFormat="false" ht="17" hidden="false" customHeight="false" outlineLevel="0" collapsed="false">
      <c r="A353" s="60" t="n">
        <v>5995</v>
      </c>
      <c r="B353" s="52" t="n">
        <v>12</v>
      </c>
    </row>
    <row r="354" customFormat="false" ht="17" hidden="false" customHeight="false" outlineLevel="0" collapsed="false">
      <c r="A354" s="60" t="n">
        <v>6041</v>
      </c>
      <c r="B354" s="52" t="n">
        <v>12</v>
      </c>
    </row>
    <row r="355" customFormat="false" ht="17" hidden="false" customHeight="false" outlineLevel="0" collapsed="false">
      <c r="A355" s="60" t="n">
        <v>6082</v>
      </c>
      <c r="B355" s="52" t="n">
        <v>12</v>
      </c>
    </row>
    <row r="356" customFormat="false" ht="17" hidden="false" customHeight="false" outlineLevel="0" collapsed="false">
      <c r="A356" s="60" t="n">
        <v>6085</v>
      </c>
      <c r="B356" s="52" t="n">
        <v>12</v>
      </c>
    </row>
    <row r="357" customFormat="false" ht="17" hidden="false" customHeight="false" outlineLevel="0" collapsed="false">
      <c r="A357" s="60" t="n">
        <v>6237</v>
      </c>
      <c r="B357" s="52" t="n">
        <v>12</v>
      </c>
    </row>
    <row r="358" customFormat="false" ht="17" hidden="false" customHeight="false" outlineLevel="0" collapsed="false">
      <c r="A358" s="60" t="n">
        <v>6238</v>
      </c>
      <c r="B358" s="52" t="n">
        <v>12</v>
      </c>
    </row>
    <row r="359" customFormat="false" ht="17" hidden="false" customHeight="false" outlineLevel="0" collapsed="false">
      <c r="A359" s="60" t="n">
        <v>6322</v>
      </c>
      <c r="B359" s="52" t="n">
        <v>12</v>
      </c>
    </row>
    <row r="360" customFormat="false" ht="17" hidden="false" customHeight="false" outlineLevel="0" collapsed="false">
      <c r="A360" s="60" t="n">
        <v>6424</v>
      </c>
      <c r="B360" s="52" t="n">
        <v>12</v>
      </c>
    </row>
    <row r="361" customFormat="false" ht="17" hidden="false" customHeight="false" outlineLevel="0" collapsed="false">
      <c r="A361" s="60" t="n">
        <v>6466</v>
      </c>
      <c r="B361" s="52" t="n">
        <v>12</v>
      </c>
    </row>
    <row r="362" customFormat="false" ht="17" hidden="false" customHeight="false" outlineLevel="0" collapsed="false">
      <c r="A362" s="60" t="n">
        <v>6467</v>
      </c>
      <c r="B362" s="52" t="n">
        <v>12</v>
      </c>
    </row>
    <row r="363" customFormat="false" ht="17" hidden="false" customHeight="false" outlineLevel="0" collapsed="false">
      <c r="A363" s="60" t="n">
        <v>6469</v>
      </c>
      <c r="B363" s="52" t="n">
        <v>12</v>
      </c>
    </row>
    <row r="364" customFormat="false" ht="17" hidden="false" customHeight="false" outlineLevel="0" collapsed="false">
      <c r="A364" s="62" t="n">
        <v>6503</v>
      </c>
      <c r="B364" s="52" t="n">
        <v>12</v>
      </c>
    </row>
    <row r="365" customFormat="false" ht="17" hidden="false" customHeight="false" outlineLevel="0" collapsed="false">
      <c r="A365" s="51" t="n">
        <v>3343</v>
      </c>
      <c r="B365" s="52" t="n">
        <v>12</v>
      </c>
    </row>
    <row r="366" customFormat="false" ht="17" hidden="false" customHeight="false" outlineLevel="0" collapsed="false">
      <c r="A366" s="51" t="n">
        <v>638</v>
      </c>
      <c r="B366" s="52" t="n">
        <v>12</v>
      </c>
    </row>
    <row r="367" customFormat="false" ht="17" hidden="false" customHeight="false" outlineLevel="0" collapsed="false">
      <c r="A367" s="51" t="n">
        <v>1421</v>
      </c>
      <c r="B367" s="52" t="n">
        <v>12</v>
      </c>
    </row>
    <row r="368" customFormat="false" ht="17" hidden="false" customHeight="false" outlineLevel="0" collapsed="false">
      <c r="A368" s="51" t="n">
        <v>6136</v>
      </c>
      <c r="B368" s="52" t="n">
        <v>12</v>
      </c>
    </row>
    <row r="369" customFormat="false" ht="17" hidden="false" customHeight="false" outlineLevel="0" collapsed="false">
      <c r="A369" s="51" t="n">
        <v>5273</v>
      </c>
      <c r="B369" s="52" t="n">
        <v>12</v>
      </c>
    </row>
    <row r="370" customFormat="false" ht="17" hidden="false" customHeight="false" outlineLevel="0" collapsed="false">
      <c r="A370" s="51" t="n">
        <v>3067</v>
      </c>
      <c r="B370" s="52" t="n">
        <v>12</v>
      </c>
    </row>
    <row r="371" customFormat="false" ht="17" hidden="false" customHeight="false" outlineLevel="0" collapsed="false">
      <c r="A371" s="51" t="n">
        <v>3068</v>
      </c>
      <c r="B371" s="52" t="n">
        <v>12</v>
      </c>
    </row>
    <row r="372" customFormat="false" ht="17" hidden="false" customHeight="false" outlineLevel="0" collapsed="false">
      <c r="A372" s="51" t="n">
        <v>3192</v>
      </c>
      <c r="B372" s="52" t="n">
        <v>12</v>
      </c>
    </row>
    <row r="373" customFormat="false" ht="17" hidden="false" customHeight="false" outlineLevel="0" collapsed="false">
      <c r="A373" s="51" t="n">
        <v>5309</v>
      </c>
      <c r="B373" s="52" t="n">
        <v>12</v>
      </c>
    </row>
    <row r="374" customFormat="false" ht="17" hidden="false" customHeight="false" outlineLevel="0" collapsed="false">
      <c r="A374" s="51" t="n">
        <v>3318</v>
      </c>
      <c r="B374" s="52" t="n">
        <v>12</v>
      </c>
    </row>
    <row r="375" customFormat="false" ht="17" hidden="false" customHeight="false" outlineLevel="0" collapsed="false">
      <c r="A375" s="51" t="n">
        <v>3397</v>
      </c>
      <c r="B375" s="52" t="n">
        <v>12</v>
      </c>
    </row>
    <row r="376" customFormat="false" ht="17" hidden="false" customHeight="false" outlineLevel="0" collapsed="false">
      <c r="A376" s="51" t="n">
        <v>3413</v>
      </c>
      <c r="B376" s="52" t="n">
        <v>12</v>
      </c>
    </row>
    <row r="377" customFormat="false" ht="17" hidden="false" customHeight="false" outlineLevel="0" collapsed="false">
      <c r="A377" s="51" t="n">
        <v>3616</v>
      </c>
      <c r="B377" s="52" t="n">
        <v>12</v>
      </c>
    </row>
    <row r="378" customFormat="false" ht="17" hidden="false" customHeight="false" outlineLevel="0" collapsed="false">
      <c r="A378" s="51" t="n">
        <v>4103</v>
      </c>
      <c r="B378" s="52" t="n">
        <v>12</v>
      </c>
    </row>
    <row r="379" customFormat="false" ht="17" hidden="false" customHeight="false" outlineLevel="0" collapsed="false">
      <c r="A379" s="56" t="n">
        <v>6148</v>
      </c>
      <c r="B379" s="52" t="n">
        <v>12</v>
      </c>
    </row>
    <row r="380" customFormat="false" ht="17" hidden="false" customHeight="false" outlineLevel="0" collapsed="false">
      <c r="A380" s="56" t="n">
        <v>6149</v>
      </c>
      <c r="B380" s="52" t="n">
        <v>12</v>
      </c>
    </row>
    <row r="381" customFormat="false" ht="17" hidden="false" customHeight="false" outlineLevel="0" collapsed="false">
      <c r="A381" s="60" t="n">
        <v>9</v>
      </c>
      <c r="B381" s="52" t="n">
        <v>12</v>
      </c>
    </row>
    <row r="382" customFormat="false" ht="17" hidden="false" customHeight="false" outlineLevel="0" collapsed="false">
      <c r="A382" s="60" t="n">
        <v>1667</v>
      </c>
      <c r="B382" s="52" t="n">
        <v>12</v>
      </c>
    </row>
    <row r="383" customFormat="false" ht="17" hidden="false" customHeight="false" outlineLevel="0" collapsed="false">
      <c r="A383" s="60" t="n">
        <v>4553</v>
      </c>
      <c r="B383" s="52" t="n">
        <v>12</v>
      </c>
    </row>
    <row r="384" customFormat="false" ht="17" hidden="false" customHeight="false" outlineLevel="0" collapsed="false">
      <c r="A384" s="60" t="n">
        <v>31</v>
      </c>
      <c r="B384" s="52" t="n">
        <v>12</v>
      </c>
    </row>
    <row r="385" customFormat="false" ht="17" hidden="false" customHeight="false" outlineLevel="0" collapsed="false">
      <c r="A385" s="60" t="n">
        <v>36</v>
      </c>
      <c r="B385" s="52" t="n">
        <v>12</v>
      </c>
    </row>
    <row r="386" customFormat="false" ht="17" hidden="false" customHeight="false" outlineLevel="0" collapsed="false">
      <c r="A386" s="60" t="n">
        <v>259</v>
      </c>
      <c r="B386" s="52" t="n">
        <v>12</v>
      </c>
    </row>
    <row r="387" customFormat="false" ht="17" hidden="false" customHeight="false" outlineLevel="0" collapsed="false">
      <c r="A387" s="60" t="n">
        <v>285</v>
      </c>
      <c r="B387" s="52" t="n">
        <v>12</v>
      </c>
    </row>
    <row r="388" customFormat="false" ht="17" hidden="false" customHeight="false" outlineLevel="0" collapsed="false">
      <c r="A388" s="60" t="n">
        <v>555</v>
      </c>
      <c r="B388" s="52" t="n">
        <v>12</v>
      </c>
    </row>
    <row r="389" customFormat="false" ht="17" hidden="false" customHeight="false" outlineLevel="0" collapsed="false">
      <c r="A389" s="60" t="n">
        <v>567</v>
      </c>
      <c r="B389" s="52" t="n">
        <v>12</v>
      </c>
    </row>
    <row r="390" customFormat="false" ht="17" hidden="false" customHeight="false" outlineLevel="0" collapsed="false">
      <c r="A390" s="60" t="n">
        <v>904</v>
      </c>
      <c r="B390" s="52" t="n">
        <v>12</v>
      </c>
    </row>
    <row r="391" customFormat="false" ht="17" hidden="false" customHeight="false" outlineLevel="0" collapsed="false">
      <c r="A391" s="60" t="n">
        <v>1213</v>
      </c>
      <c r="B391" s="52" t="n">
        <v>12</v>
      </c>
    </row>
    <row r="392" customFormat="false" ht="17" hidden="false" customHeight="false" outlineLevel="0" collapsed="false">
      <c r="A392" s="60" t="n">
        <v>1276</v>
      </c>
      <c r="B392" s="52" t="n">
        <v>12</v>
      </c>
    </row>
    <row r="393" customFormat="false" ht="17" hidden="false" customHeight="false" outlineLevel="0" collapsed="false">
      <c r="A393" s="60" t="n">
        <v>1397</v>
      </c>
      <c r="B393" s="52" t="n">
        <v>12</v>
      </c>
    </row>
    <row r="394" customFormat="false" ht="17" hidden="false" customHeight="false" outlineLevel="0" collapsed="false">
      <c r="A394" s="60" t="n">
        <v>1420</v>
      </c>
      <c r="B394" s="52" t="n">
        <v>12</v>
      </c>
    </row>
    <row r="395" customFormat="false" ht="17" hidden="false" customHeight="false" outlineLevel="0" collapsed="false">
      <c r="A395" s="60" t="n">
        <v>1450</v>
      </c>
      <c r="B395" s="52" t="n">
        <v>12</v>
      </c>
    </row>
    <row r="396" customFormat="false" ht="17" hidden="false" customHeight="false" outlineLevel="0" collapsed="false">
      <c r="A396" s="60" t="n">
        <v>1467</v>
      </c>
      <c r="B396" s="52" t="n">
        <v>12</v>
      </c>
    </row>
    <row r="397" customFormat="false" ht="17" hidden="false" customHeight="false" outlineLevel="0" collapsed="false">
      <c r="A397" s="60" t="n">
        <v>1617</v>
      </c>
      <c r="B397" s="52" t="n">
        <v>12</v>
      </c>
    </row>
    <row r="398" customFormat="false" ht="17" hidden="false" customHeight="false" outlineLevel="0" collapsed="false">
      <c r="A398" s="60" t="n">
        <v>1676</v>
      </c>
      <c r="B398" s="52" t="n">
        <v>12</v>
      </c>
    </row>
    <row r="399" customFormat="false" ht="17" hidden="false" customHeight="false" outlineLevel="0" collapsed="false">
      <c r="A399" s="60" t="n">
        <v>1850</v>
      </c>
      <c r="B399" s="52" t="n">
        <v>12</v>
      </c>
    </row>
    <row r="400" customFormat="false" ht="17" hidden="false" customHeight="false" outlineLevel="0" collapsed="false">
      <c r="A400" s="60" t="n">
        <v>2043</v>
      </c>
      <c r="B400" s="52" t="n">
        <v>12</v>
      </c>
    </row>
    <row r="401" customFormat="false" ht="17" hidden="false" customHeight="false" outlineLevel="0" collapsed="false">
      <c r="A401" s="60" t="n">
        <v>2118</v>
      </c>
      <c r="B401" s="52" t="n">
        <v>12</v>
      </c>
    </row>
    <row r="402" customFormat="false" ht="17" hidden="false" customHeight="false" outlineLevel="0" collapsed="false">
      <c r="A402" s="60" t="n">
        <v>2370</v>
      </c>
      <c r="B402" s="52" t="n">
        <v>12</v>
      </c>
    </row>
    <row r="403" customFormat="false" ht="17" hidden="false" customHeight="false" outlineLevel="0" collapsed="false">
      <c r="A403" s="60" t="n">
        <v>1256</v>
      </c>
      <c r="B403" s="52" t="n">
        <v>12</v>
      </c>
    </row>
    <row r="404" customFormat="false" ht="17" hidden="false" customHeight="false" outlineLevel="0" collapsed="false">
      <c r="A404" s="56" t="n">
        <v>3992</v>
      </c>
      <c r="B404" s="52" t="n">
        <v>12</v>
      </c>
    </row>
    <row r="405" customFormat="false" ht="17" hidden="false" customHeight="false" outlineLevel="0" collapsed="false">
      <c r="A405" s="56" t="n">
        <v>4058</v>
      </c>
      <c r="B405" s="52" t="n">
        <v>12</v>
      </c>
    </row>
    <row r="406" customFormat="false" ht="17" hidden="false" customHeight="false" outlineLevel="0" collapsed="false">
      <c r="A406" s="56" t="n">
        <v>4060</v>
      </c>
      <c r="B406" s="52" t="n">
        <v>12</v>
      </c>
    </row>
    <row r="407" customFormat="false" ht="17" hidden="false" customHeight="false" outlineLevel="0" collapsed="false">
      <c r="A407" s="56" t="n">
        <v>4073</v>
      </c>
      <c r="B407" s="52" t="n">
        <v>12</v>
      </c>
    </row>
    <row r="408" customFormat="false" ht="17" hidden="false" customHeight="false" outlineLevel="0" collapsed="false">
      <c r="A408" s="56" t="n">
        <v>4077</v>
      </c>
      <c r="B408" s="52" t="n">
        <v>12</v>
      </c>
    </row>
    <row r="409" customFormat="false" ht="17" hidden="false" customHeight="false" outlineLevel="0" collapsed="false">
      <c r="A409" s="56" t="n">
        <v>4131</v>
      </c>
      <c r="B409" s="52" t="n">
        <v>12</v>
      </c>
    </row>
    <row r="410" customFormat="false" ht="17" hidden="false" customHeight="false" outlineLevel="0" collapsed="false">
      <c r="A410" s="60" t="n">
        <v>2568</v>
      </c>
      <c r="B410" s="52" t="n">
        <v>12</v>
      </c>
    </row>
    <row r="411" customFormat="false" ht="17" hidden="false" customHeight="false" outlineLevel="0" collapsed="false">
      <c r="A411" s="60" t="n">
        <v>2690</v>
      </c>
      <c r="B411" s="52" t="n">
        <v>12</v>
      </c>
    </row>
    <row r="412" customFormat="false" ht="17" hidden="false" customHeight="false" outlineLevel="0" collapsed="false">
      <c r="A412" s="60" t="n">
        <v>4960</v>
      </c>
      <c r="B412" s="52" t="n">
        <v>12</v>
      </c>
    </row>
    <row r="413" customFormat="false" ht="17" hidden="false" customHeight="false" outlineLevel="0" collapsed="false">
      <c r="A413" s="60" t="n">
        <v>4961</v>
      </c>
      <c r="B413" s="52" t="n">
        <v>12</v>
      </c>
    </row>
    <row r="414" customFormat="false" ht="17" hidden="false" customHeight="false" outlineLevel="0" collapsed="false">
      <c r="A414" s="60" t="n">
        <v>5837</v>
      </c>
      <c r="B414" s="52" t="n">
        <v>12</v>
      </c>
    </row>
    <row r="415" customFormat="false" ht="17" hidden="false" customHeight="false" outlineLevel="0" collapsed="false">
      <c r="A415" s="60" t="n">
        <v>2839</v>
      </c>
      <c r="B415" s="52" t="n">
        <v>12</v>
      </c>
    </row>
    <row r="416" customFormat="false" ht="17" hidden="false" customHeight="false" outlineLevel="0" collapsed="false">
      <c r="A416" s="60" t="n">
        <v>2925</v>
      </c>
      <c r="B416" s="52" t="n">
        <v>12</v>
      </c>
    </row>
    <row r="417" customFormat="false" ht="17" hidden="false" customHeight="false" outlineLevel="0" collapsed="false">
      <c r="A417" s="56" t="n">
        <v>3245</v>
      </c>
      <c r="B417" s="52" t="n">
        <v>12</v>
      </c>
    </row>
    <row r="418" customFormat="false" ht="17" hidden="false" customHeight="false" outlineLevel="0" collapsed="false">
      <c r="A418" s="60" t="n">
        <v>3244</v>
      </c>
      <c r="B418" s="52" t="n">
        <v>12</v>
      </c>
    </row>
    <row r="419" customFormat="false" ht="17" hidden="false" customHeight="false" outlineLevel="0" collapsed="false">
      <c r="A419" s="60" t="n">
        <v>3249</v>
      </c>
      <c r="B419" s="52" t="n">
        <v>12</v>
      </c>
    </row>
    <row r="420" customFormat="false" ht="17" hidden="false" customHeight="false" outlineLevel="0" collapsed="false">
      <c r="A420" s="60" t="n">
        <v>3251</v>
      </c>
      <c r="B420" s="52" t="n">
        <v>12</v>
      </c>
    </row>
    <row r="421" customFormat="false" ht="17" hidden="false" customHeight="false" outlineLevel="0" collapsed="false">
      <c r="A421" s="60" t="n">
        <v>3352</v>
      </c>
      <c r="B421" s="52" t="n">
        <v>12</v>
      </c>
    </row>
    <row r="422" customFormat="false" ht="17" hidden="false" customHeight="false" outlineLevel="0" collapsed="false">
      <c r="A422" s="56" t="n">
        <v>3570</v>
      </c>
      <c r="B422" s="52" t="n">
        <v>12</v>
      </c>
    </row>
    <row r="423" customFormat="false" ht="17" hidden="false" customHeight="false" outlineLevel="0" collapsed="false">
      <c r="A423" s="63" t="n">
        <v>3238</v>
      </c>
      <c r="B423" s="52" t="n">
        <v>12</v>
      </c>
    </row>
    <row r="424" customFormat="false" ht="17" hidden="false" customHeight="false" outlineLevel="0" collapsed="false">
      <c r="A424" s="56" t="n">
        <v>3813</v>
      </c>
      <c r="B424" s="52" t="n">
        <v>12</v>
      </c>
    </row>
    <row r="425" customFormat="false" ht="17" hidden="false" customHeight="false" outlineLevel="0" collapsed="false">
      <c r="A425" s="64" t="n">
        <v>4031</v>
      </c>
      <c r="B425" s="52" t="n">
        <v>12</v>
      </c>
    </row>
    <row r="426" customFormat="false" ht="17" hidden="false" customHeight="false" outlineLevel="0" collapsed="false">
      <c r="A426" s="60" t="n">
        <v>4099</v>
      </c>
      <c r="B426" s="52" t="n">
        <v>12</v>
      </c>
    </row>
    <row r="427" customFormat="false" ht="17" hidden="false" customHeight="false" outlineLevel="0" collapsed="false">
      <c r="A427" s="60" t="n">
        <v>5181</v>
      </c>
      <c r="B427" s="52" t="n">
        <v>12</v>
      </c>
    </row>
    <row r="428" customFormat="false" ht="17" hidden="false" customHeight="false" outlineLevel="0" collapsed="false">
      <c r="A428" s="60" t="n">
        <v>5215</v>
      </c>
      <c r="B428" s="52" t="n">
        <v>12</v>
      </c>
    </row>
    <row r="429" customFormat="false" ht="17" hidden="false" customHeight="false" outlineLevel="0" collapsed="false">
      <c r="A429" s="60" t="n">
        <v>5239</v>
      </c>
      <c r="B429" s="52" t="n">
        <v>12</v>
      </c>
    </row>
    <row r="430" customFormat="false" ht="17" hidden="false" customHeight="false" outlineLevel="0" collapsed="false">
      <c r="A430" s="60" t="n">
        <v>5496</v>
      </c>
      <c r="B430" s="52" t="n">
        <v>12</v>
      </c>
    </row>
    <row r="431" customFormat="false" ht="17" hidden="false" customHeight="false" outlineLevel="0" collapsed="false">
      <c r="A431" s="60" t="n">
        <v>3006</v>
      </c>
      <c r="B431" s="52" t="n">
        <v>12</v>
      </c>
    </row>
    <row r="432" customFormat="false" ht="17" hidden="false" customHeight="false" outlineLevel="0" collapsed="false">
      <c r="A432" s="60" t="n">
        <v>3059</v>
      </c>
      <c r="B432" s="52" t="n">
        <v>12</v>
      </c>
    </row>
    <row r="433" customFormat="false" ht="17" hidden="false" customHeight="false" outlineLevel="0" collapsed="false">
      <c r="A433" s="60" t="n">
        <v>3191</v>
      </c>
      <c r="B433" s="52" t="n">
        <v>12</v>
      </c>
    </row>
    <row r="434" customFormat="false" ht="17" hidden="false" customHeight="false" outlineLevel="0" collapsed="false">
      <c r="A434" s="60" t="n">
        <v>3205</v>
      </c>
      <c r="B434" s="52" t="n">
        <v>12</v>
      </c>
    </row>
    <row r="435" customFormat="false" ht="17" hidden="false" customHeight="false" outlineLevel="0" collapsed="false">
      <c r="A435" s="60" t="n">
        <v>3269</v>
      </c>
      <c r="B435" s="52" t="n">
        <v>12</v>
      </c>
    </row>
    <row r="436" customFormat="false" ht="17" hidden="false" customHeight="false" outlineLevel="0" collapsed="false">
      <c r="A436" s="60" t="n">
        <v>3287</v>
      </c>
      <c r="B436" s="52" t="n">
        <v>12</v>
      </c>
    </row>
    <row r="437" customFormat="false" ht="17" hidden="false" customHeight="false" outlineLevel="0" collapsed="false">
      <c r="A437" s="60" t="n">
        <v>3321</v>
      </c>
      <c r="B437" s="52" t="n">
        <v>12</v>
      </c>
    </row>
    <row r="438" customFormat="false" ht="17" hidden="false" customHeight="false" outlineLevel="0" collapsed="false">
      <c r="A438" s="60" t="n">
        <v>3557</v>
      </c>
      <c r="B438" s="52" t="n">
        <v>12</v>
      </c>
    </row>
    <row r="439" customFormat="false" ht="17" hidden="false" customHeight="false" outlineLevel="0" collapsed="false">
      <c r="A439" s="60" t="n">
        <v>3452</v>
      </c>
      <c r="B439" s="52" t="n">
        <v>12</v>
      </c>
    </row>
    <row r="440" customFormat="false" ht="17" hidden="false" customHeight="false" outlineLevel="0" collapsed="false">
      <c r="A440" s="60" t="n">
        <v>3329</v>
      </c>
      <c r="B440" s="52" t="n">
        <v>12</v>
      </c>
    </row>
    <row r="441" customFormat="false" ht="17" hidden="false" customHeight="false" outlineLevel="0" collapsed="false">
      <c r="A441" s="60" t="n">
        <v>3330</v>
      </c>
      <c r="B441" s="52" t="n">
        <v>12</v>
      </c>
    </row>
    <row r="442" customFormat="false" ht="17" hidden="false" customHeight="false" outlineLevel="0" collapsed="false">
      <c r="A442" s="60" t="n">
        <v>3347</v>
      </c>
      <c r="B442" s="52" t="n">
        <v>12</v>
      </c>
    </row>
    <row r="443" customFormat="false" ht="17" hidden="false" customHeight="false" outlineLevel="0" collapsed="false">
      <c r="A443" s="60" t="n">
        <v>3365</v>
      </c>
      <c r="B443" s="52" t="n">
        <v>12</v>
      </c>
    </row>
    <row r="444" customFormat="false" ht="17" hidden="false" customHeight="false" outlineLevel="0" collapsed="false">
      <c r="A444" s="60" t="n">
        <v>3378</v>
      </c>
      <c r="B444" s="52" t="n">
        <v>12</v>
      </c>
    </row>
    <row r="445" customFormat="false" ht="17" hidden="false" customHeight="false" outlineLevel="0" collapsed="false">
      <c r="A445" s="60" t="n">
        <v>3379</v>
      </c>
      <c r="B445" s="52" t="n">
        <v>12</v>
      </c>
    </row>
    <row r="446" customFormat="false" ht="17" hidden="false" customHeight="false" outlineLevel="0" collapsed="false">
      <c r="A446" s="60" t="n">
        <v>4146</v>
      </c>
      <c r="B446" s="52" t="n">
        <v>12</v>
      </c>
    </row>
    <row r="447" customFormat="false" ht="17" hidden="false" customHeight="false" outlineLevel="0" collapsed="false">
      <c r="A447" s="56" t="n">
        <v>5114</v>
      </c>
      <c r="B447" s="52" t="n">
        <v>12</v>
      </c>
    </row>
    <row r="448" customFormat="false" ht="17" hidden="false" customHeight="false" outlineLevel="0" collapsed="false">
      <c r="A448" s="56" t="n">
        <v>5479</v>
      </c>
      <c r="B448" s="52" t="n">
        <v>12</v>
      </c>
    </row>
    <row r="449" customFormat="false" ht="17" hidden="false" customHeight="false" outlineLevel="0" collapsed="false">
      <c r="A449" s="56" t="n">
        <v>5452</v>
      </c>
      <c r="B449" s="52" t="n">
        <v>12</v>
      </c>
    </row>
    <row r="450" customFormat="false" ht="17" hidden="false" customHeight="false" outlineLevel="0" collapsed="false">
      <c r="A450" s="60" t="n">
        <v>3395</v>
      </c>
      <c r="B450" s="52" t="n">
        <v>12</v>
      </c>
    </row>
    <row r="451" customFormat="false" ht="17" hidden="false" customHeight="false" outlineLevel="0" collapsed="false">
      <c r="A451" s="60" t="n">
        <v>3408</v>
      </c>
      <c r="B451" s="52" t="n">
        <v>12</v>
      </c>
    </row>
    <row r="452" customFormat="false" ht="17" hidden="false" customHeight="false" outlineLevel="0" collapsed="false">
      <c r="A452" s="60" t="n">
        <v>3472</v>
      </c>
      <c r="B452" s="52" t="n">
        <v>12</v>
      </c>
    </row>
    <row r="453" customFormat="false" ht="17" hidden="false" customHeight="false" outlineLevel="0" collapsed="false">
      <c r="A453" s="60" t="n">
        <v>4539</v>
      </c>
      <c r="B453" s="52" t="n">
        <v>12</v>
      </c>
    </row>
    <row r="454" customFormat="false" ht="17" hidden="false" customHeight="false" outlineLevel="0" collapsed="false">
      <c r="A454" s="60" t="n">
        <v>4549</v>
      </c>
      <c r="B454" s="52" t="n">
        <v>12</v>
      </c>
    </row>
    <row r="455" customFormat="false" ht="17" hidden="false" customHeight="false" outlineLevel="0" collapsed="false">
      <c r="A455" s="60" t="n">
        <v>3539</v>
      </c>
      <c r="B455" s="52" t="n">
        <v>12</v>
      </c>
    </row>
    <row r="456" customFormat="false" ht="17" hidden="false" customHeight="false" outlineLevel="0" collapsed="false">
      <c r="A456" s="60" t="n">
        <v>3548</v>
      </c>
      <c r="B456" s="52" t="n">
        <v>12</v>
      </c>
    </row>
    <row r="457" customFormat="false" ht="17" hidden="false" customHeight="false" outlineLevel="0" collapsed="false">
      <c r="A457" s="60" t="n">
        <v>3593</v>
      </c>
      <c r="B457" s="52" t="n">
        <v>12</v>
      </c>
    </row>
    <row r="458" customFormat="false" ht="17" hidden="false" customHeight="false" outlineLevel="0" collapsed="false">
      <c r="A458" s="60" t="n">
        <v>3772</v>
      </c>
      <c r="B458" s="52" t="n">
        <v>12</v>
      </c>
    </row>
    <row r="459" customFormat="false" ht="17" hidden="false" customHeight="false" outlineLevel="0" collapsed="false">
      <c r="A459" s="56" t="n">
        <v>3875</v>
      </c>
      <c r="B459" s="52" t="n">
        <v>12</v>
      </c>
    </row>
    <row r="460" customFormat="false" ht="17" hidden="false" customHeight="false" outlineLevel="0" collapsed="false">
      <c r="A460" s="56" t="n">
        <v>3877</v>
      </c>
      <c r="B460" s="52" t="n">
        <v>12</v>
      </c>
    </row>
    <row r="461" customFormat="false" ht="17" hidden="false" customHeight="false" outlineLevel="0" collapsed="false">
      <c r="A461" s="56" t="n">
        <v>3911</v>
      </c>
      <c r="B461" s="52" t="n">
        <v>12</v>
      </c>
    </row>
    <row r="462" customFormat="false" ht="17" hidden="false" customHeight="false" outlineLevel="0" collapsed="false">
      <c r="A462" s="56" t="n">
        <v>3974</v>
      </c>
      <c r="B462" s="52" t="n">
        <v>12</v>
      </c>
    </row>
    <row r="463" customFormat="false" ht="17" hidden="false" customHeight="false" outlineLevel="0" collapsed="false">
      <c r="A463" s="56" t="n">
        <v>4010</v>
      </c>
      <c r="B463" s="52" t="n">
        <v>12</v>
      </c>
    </row>
    <row r="464" customFormat="false" ht="17" hidden="false" customHeight="false" outlineLevel="0" collapsed="false">
      <c r="A464" s="60" t="n">
        <v>4047</v>
      </c>
      <c r="B464" s="52" t="n">
        <v>12</v>
      </c>
    </row>
    <row r="465" customFormat="false" ht="17" hidden="false" customHeight="false" outlineLevel="0" collapsed="false">
      <c r="A465" s="56" t="n">
        <v>4061</v>
      </c>
      <c r="B465" s="52" t="n">
        <v>12</v>
      </c>
    </row>
    <row r="466" customFormat="false" ht="17" hidden="false" customHeight="false" outlineLevel="0" collapsed="false">
      <c r="A466" s="56" t="n">
        <v>4088</v>
      </c>
      <c r="B466" s="52" t="n">
        <v>12</v>
      </c>
    </row>
    <row r="467" customFormat="false" ht="17" hidden="false" customHeight="false" outlineLevel="0" collapsed="false">
      <c r="A467" s="60" t="n">
        <v>4147</v>
      </c>
      <c r="B467" s="52" t="n">
        <v>12</v>
      </c>
    </row>
    <row r="468" customFormat="false" ht="17" hidden="false" customHeight="false" outlineLevel="0" collapsed="false">
      <c r="A468" s="60" t="n">
        <v>4156</v>
      </c>
      <c r="B468" s="52" t="n">
        <v>12</v>
      </c>
    </row>
    <row r="469" customFormat="false" ht="17" hidden="false" customHeight="false" outlineLevel="0" collapsed="false">
      <c r="A469" s="60" t="n">
        <v>5072</v>
      </c>
      <c r="B469" s="52" t="n">
        <v>12</v>
      </c>
    </row>
    <row r="470" customFormat="false" ht="17" hidden="false" customHeight="false" outlineLevel="0" collapsed="false">
      <c r="A470" s="60" t="n">
        <v>5445</v>
      </c>
      <c r="B470" s="52" t="n">
        <v>12</v>
      </c>
    </row>
    <row r="471" customFormat="false" ht="17" hidden="false" customHeight="false" outlineLevel="0" collapsed="false">
      <c r="A471" s="60" t="n">
        <v>6229</v>
      </c>
      <c r="B471" s="52" t="n">
        <v>12</v>
      </c>
    </row>
    <row r="472" customFormat="false" ht="17" hidden="false" customHeight="false" outlineLevel="0" collapsed="false">
      <c r="A472" s="60" t="n">
        <v>6230</v>
      </c>
      <c r="B472" s="52" t="n">
        <v>12</v>
      </c>
    </row>
    <row r="473" customFormat="false" ht="17" hidden="false" customHeight="false" outlineLevel="0" collapsed="false">
      <c r="A473" s="60" t="n">
        <v>6231</v>
      </c>
      <c r="B473" s="52" t="n">
        <v>12</v>
      </c>
    </row>
    <row r="474" customFormat="false" ht="17" hidden="false" customHeight="false" outlineLevel="0" collapsed="false">
      <c r="A474" s="60" t="n">
        <v>5212</v>
      </c>
      <c r="B474" s="52" t="n">
        <v>12</v>
      </c>
    </row>
    <row r="475" customFormat="false" ht="17" hidden="false" customHeight="false" outlineLevel="0" collapsed="false">
      <c r="A475" s="60" t="n">
        <v>5218</v>
      </c>
      <c r="B475" s="52" t="n">
        <v>12</v>
      </c>
    </row>
    <row r="476" customFormat="false" ht="17" hidden="false" customHeight="false" outlineLevel="0" collapsed="false">
      <c r="A476" s="60" t="n">
        <v>5243</v>
      </c>
      <c r="B476" s="52" t="n">
        <v>12</v>
      </c>
    </row>
    <row r="477" customFormat="false" ht="17" hidden="false" customHeight="false" outlineLevel="0" collapsed="false">
      <c r="A477" s="60" t="n">
        <v>5348</v>
      </c>
      <c r="B477" s="52" t="n">
        <v>12</v>
      </c>
    </row>
    <row r="478" customFormat="false" ht="17" hidden="false" customHeight="false" outlineLevel="0" collapsed="false">
      <c r="A478" s="60" t="n">
        <v>5442</v>
      </c>
      <c r="B478" s="52" t="n">
        <v>12</v>
      </c>
    </row>
    <row r="479" customFormat="false" ht="17" hidden="false" customHeight="false" outlineLevel="0" collapsed="false">
      <c r="A479" s="60" t="n">
        <v>5629</v>
      </c>
      <c r="B479" s="52" t="n">
        <v>12</v>
      </c>
    </row>
    <row r="480" customFormat="false" ht="17" hidden="false" customHeight="false" outlineLevel="0" collapsed="false">
      <c r="A480" s="60" t="n">
        <v>5746</v>
      </c>
      <c r="B480" s="52" t="n">
        <v>12</v>
      </c>
    </row>
    <row r="481" customFormat="false" ht="17" hidden="false" customHeight="false" outlineLevel="0" collapsed="false">
      <c r="A481" s="60" t="n">
        <v>5747</v>
      </c>
      <c r="B481" s="52" t="n">
        <v>12</v>
      </c>
    </row>
    <row r="482" customFormat="false" ht="17" hidden="false" customHeight="false" outlineLevel="0" collapsed="false">
      <c r="A482" s="56" t="n">
        <v>5321</v>
      </c>
      <c r="B482" s="52" t="n">
        <v>12</v>
      </c>
    </row>
    <row r="483" customFormat="false" ht="17" hidden="false" customHeight="false" outlineLevel="0" collapsed="false">
      <c r="A483" s="56" t="n">
        <v>5462</v>
      </c>
      <c r="B483" s="52" t="n">
        <v>12</v>
      </c>
    </row>
    <row r="484" customFormat="false" ht="17" hidden="false" customHeight="false" outlineLevel="0" collapsed="false">
      <c r="A484" s="60" t="n">
        <v>5497</v>
      </c>
      <c r="B484" s="52" t="n">
        <v>12</v>
      </c>
    </row>
    <row r="485" customFormat="false" ht="17" hidden="false" customHeight="false" outlineLevel="0" collapsed="false">
      <c r="A485" s="60" t="n">
        <v>5567</v>
      </c>
      <c r="B485" s="52" t="n">
        <v>12</v>
      </c>
    </row>
    <row r="486" customFormat="false" ht="17" hidden="false" customHeight="false" outlineLevel="0" collapsed="false">
      <c r="A486" s="51" t="n">
        <v>5616</v>
      </c>
      <c r="B486" s="52" t="n">
        <v>12</v>
      </c>
    </row>
    <row r="487" customFormat="false" ht="17" hidden="false" customHeight="false" outlineLevel="0" collapsed="false">
      <c r="A487" s="60" t="n">
        <v>6111</v>
      </c>
      <c r="B487" s="52" t="n">
        <v>12</v>
      </c>
    </row>
    <row r="488" customFormat="false" ht="17" hidden="false" customHeight="false" outlineLevel="0" collapsed="false">
      <c r="A488" s="60" t="n">
        <v>6135</v>
      </c>
      <c r="B488" s="52" t="n">
        <v>12</v>
      </c>
    </row>
    <row r="489" customFormat="false" ht="17" hidden="false" customHeight="false" outlineLevel="0" collapsed="false">
      <c r="A489" s="60" t="n">
        <v>6377</v>
      </c>
      <c r="B489" s="52" t="n">
        <v>12</v>
      </c>
    </row>
    <row r="490" customFormat="false" ht="17" hidden="false" customHeight="false" outlineLevel="0" collapsed="false">
      <c r="A490" s="60" t="n">
        <v>6448</v>
      </c>
      <c r="B490" s="52" t="n">
        <v>12</v>
      </c>
    </row>
    <row r="491" customFormat="false" ht="17" hidden="false" customHeight="false" outlineLevel="0" collapsed="false">
      <c r="A491" s="60" t="n">
        <v>6449</v>
      </c>
      <c r="B491" s="52" t="n">
        <v>12</v>
      </c>
    </row>
    <row r="492" customFormat="false" ht="17" hidden="false" customHeight="false" outlineLevel="0" collapsed="false">
      <c r="A492" s="60" t="n">
        <v>6465</v>
      </c>
      <c r="B492" s="52" t="n">
        <v>12</v>
      </c>
    </row>
    <row r="493" customFormat="false" ht="17" hidden="false" customHeight="false" outlineLevel="0" collapsed="false">
      <c r="A493" s="60" t="n">
        <v>5237</v>
      </c>
      <c r="B493" s="52" t="n">
        <v>12</v>
      </c>
    </row>
    <row r="494" customFormat="false" ht="17" hidden="false" customHeight="false" outlineLevel="0" collapsed="false">
      <c r="A494" s="60" t="n">
        <v>5399</v>
      </c>
      <c r="B494" s="52" t="n">
        <v>12</v>
      </c>
    </row>
    <row r="495" customFormat="false" ht="17" hidden="false" customHeight="false" outlineLevel="0" collapsed="false">
      <c r="A495" s="60" t="n">
        <v>5570</v>
      </c>
      <c r="B495" s="52" t="n">
        <v>12</v>
      </c>
    </row>
    <row r="496" customFormat="false" ht="17" hidden="false" customHeight="false" outlineLevel="0" collapsed="false">
      <c r="A496" s="60" t="n">
        <v>5606</v>
      </c>
      <c r="B496" s="52" t="n">
        <v>12</v>
      </c>
    </row>
    <row r="497" customFormat="false" ht="17" hidden="false" customHeight="false" outlineLevel="0" collapsed="false">
      <c r="A497" s="60" t="n">
        <v>5762</v>
      </c>
      <c r="B497" s="52" t="n">
        <v>12</v>
      </c>
    </row>
    <row r="498" customFormat="false" ht="17" hidden="false" customHeight="false" outlineLevel="0" collapsed="false">
      <c r="A498" s="60" t="n">
        <v>5766</v>
      </c>
      <c r="B498" s="52" t="n">
        <v>12</v>
      </c>
    </row>
    <row r="499" customFormat="false" ht="17" hidden="false" customHeight="false" outlineLevel="0" collapsed="false">
      <c r="A499" s="60" t="n">
        <v>5767</v>
      </c>
      <c r="B499" s="52" t="n">
        <v>12</v>
      </c>
    </row>
    <row r="500" customFormat="false" ht="17" hidden="false" customHeight="false" outlineLevel="0" collapsed="false">
      <c r="A500" s="60" t="n">
        <v>5781</v>
      </c>
      <c r="B500" s="52" t="n">
        <v>12</v>
      </c>
    </row>
    <row r="501" customFormat="false" ht="17" hidden="false" customHeight="false" outlineLevel="0" collapsed="false">
      <c r="A501" s="60" t="n">
        <v>5786</v>
      </c>
      <c r="B501" s="52" t="n">
        <v>12</v>
      </c>
    </row>
    <row r="502" customFormat="false" ht="17" hidden="false" customHeight="false" outlineLevel="0" collapsed="false">
      <c r="A502" s="60" t="n">
        <v>5805</v>
      </c>
      <c r="B502" s="52" t="n">
        <v>12</v>
      </c>
    </row>
    <row r="503" customFormat="false" ht="17" hidden="false" customHeight="false" outlineLevel="0" collapsed="false">
      <c r="A503" s="60" t="n">
        <v>5816</v>
      </c>
      <c r="B503" s="52" t="n">
        <v>12</v>
      </c>
    </row>
    <row r="504" customFormat="false" ht="17" hidden="false" customHeight="false" outlineLevel="0" collapsed="false">
      <c r="A504" s="60" t="n">
        <v>5861</v>
      </c>
      <c r="B504" s="52" t="n">
        <v>12</v>
      </c>
    </row>
    <row r="505" customFormat="false" ht="17" hidden="false" customHeight="false" outlineLevel="0" collapsed="false">
      <c r="A505" s="60" t="n">
        <v>5976</v>
      </c>
      <c r="B505" s="52" t="n">
        <v>12</v>
      </c>
    </row>
    <row r="506" customFormat="false" ht="17" hidden="false" customHeight="false" outlineLevel="0" collapsed="false">
      <c r="A506" s="60" t="n">
        <v>6006</v>
      </c>
      <c r="B506" s="52" t="n">
        <v>12</v>
      </c>
    </row>
    <row r="507" customFormat="false" ht="17" hidden="false" customHeight="false" outlineLevel="0" collapsed="false">
      <c r="A507" s="60" t="n">
        <v>6087</v>
      </c>
      <c r="B507" s="52" t="n">
        <v>12</v>
      </c>
    </row>
    <row r="508" customFormat="false" ht="17" hidden="false" customHeight="false" outlineLevel="0" collapsed="false">
      <c r="A508" s="51" t="n">
        <v>6227</v>
      </c>
      <c r="B508" s="52" t="n">
        <v>12</v>
      </c>
    </row>
    <row r="509" customFormat="false" ht="17" hidden="false" customHeight="false" outlineLevel="0" collapsed="false">
      <c r="A509" s="51" t="n">
        <v>6228</v>
      </c>
      <c r="B509" s="52" t="n">
        <v>12</v>
      </c>
    </row>
    <row r="510" customFormat="false" ht="17" hidden="false" customHeight="false" outlineLevel="0" collapsed="false">
      <c r="A510" s="51" t="n">
        <v>6232</v>
      </c>
      <c r="B510" s="52" t="n">
        <v>12</v>
      </c>
    </row>
    <row r="511" customFormat="false" ht="17" hidden="false" customHeight="false" outlineLevel="0" collapsed="false">
      <c r="A511" s="51" t="n">
        <v>6233</v>
      </c>
      <c r="B511" s="52" t="n">
        <v>12</v>
      </c>
    </row>
    <row r="512" customFormat="false" ht="17" hidden="false" customHeight="false" outlineLevel="0" collapsed="false">
      <c r="A512" s="51" t="n">
        <v>6327</v>
      </c>
      <c r="B512" s="52" t="n">
        <v>12</v>
      </c>
    </row>
    <row r="513" customFormat="false" ht="17" hidden="false" customHeight="false" outlineLevel="0" collapsed="false">
      <c r="A513" s="51" t="n">
        <v>6331</v>
      </c>
      <c r="B513" s="52" t="n">
        <v>12</v>
      </c>
    </row>
    <row r="514" customFormat="false" ht="17" hidden="false" customHeight="false" outlineLevel="0" collapsed="false">
      <c r="A514" s="51" t="n">
        <v>6348</v>
      </c>
      <c r="B514" s="52" t="n">
        <v>12</v>
      </c>
    </row>
    <row r="515" customFormat="false" ht="17" hidden="false" customHeight="false" outlineLevel="0" collapsed="false">
      <c r="A515" s="51" t="n">
        <v>6349</v>
      </c>
      <c r="B515" s="52" t="n">
        <v>12</v>
      </c>
    </row>
    <row r="516" customFormat="false" ht="17" hidden="false" customHeight="false" outlineLevel="0" collapsed="false">
      <c r="A516" s="51" t="n">
        <v>6356</v>
      </c>
      <c r="B516" s="52" t="n">
        <v>12</v>
      </c>
    </row>
    <row r="517" customFormat="false" ht="17" hidden="false" customHeight="false" outlineLevel="0" collapsed="false">
      <c r="A517" s="51" t="n">
        <v>6370</v>
      </c>
      <c r="B517" s="52" t="n">
        <v>12</v>
      </c>
    </row>
    <row r="518" customFormat="false" ht="17" hidden="false" customHeight="false" outlineLevel="0" collapsed="false">
      <c r="A518" s="51" t="n">
        <v>6405</v>
      </c>
      <c r="B518" s="52" t="n">
        <v>12</v>
      </c>
    </row>
    <row r="519" customFormat="false" ht="17" hidden="false" customHeight="false" outlineLevel="0" collapsed="false">
      <c r="A519" s="51" t="n">
        <v>6464</v>
      </c>
      <c r="B519" s="52" t="n">
        <v>12</v>
      </c>
    </row>
    <row r="520" customFormat="false" ht="17" hidden="false" customHeight="false" outlineLevel="0" collapsed="false">
      <c r="A520" s="57" t="n">
        <v>6495</v>
      </c>
      <c r="B520" s="52" t="n">
        <v>12</v>
      </c>
    </row>
    <row r="521" customFormat="false" ht="17" hidden="false" customHeight="false" outlineLevel="0" collapsed="false">
      <c r="A521" s="62" t="n">
        <v>6498</v>
      </c>
      <c r="B521" s="52" t="n">
        <v>12</v>
      </c>
    </row>
    <row r="522" customFormat="false" ht="17" hidden="false" customHeight="false" outlineLevel="0" collapsed="false">
      <c r="A522" s="51" t="n">
        <v>5489</v>
      </c>
      <c r="B522" s="52" t="n">
        <v>12</v>
      </c>
    </row>
    <row r="523" customFormat="false" ht="17" hidden="false" customHeight="false" outlineLevel="0" collapsed="false">
      <c r="A523" s="56" t="s">
        <v>557</v>
      </c>
      <c r="B523" s="52" t="n">
        <v>12</v>
      </c>
    </row>
    <row r="524" customFormat="false" ht="17" hidden="false" customHeight="false" outlineLevel="0" collapsed="false">
      <c r="A524" s="56" t="n">
        <v>4552</v>
      </c>
      <c r="B524" s="52" t="n">
        <v>12</v>
      </c>
    </row>
    <row r="525" customFormat="false" ht="17" hidden="false" customHeight="false" outlineLevel="0" collapsed="false">
      <c r="A525" s="56" t="n">
        <v>4949</v>
      </c>
      <c r="B525" s="52" t="n">
        <v>12</v>
      </c>
    </row>
    <row r="526" customFormat="false" ht="17" hidden="false" customHeight="false" outlineLevel="0" collapsed="false">
      <c r="A526" s="56" t="n">
        <v>5211</v>
      </c>
      <c r="B526" s="52" t="n">
        <v>12</v>
      </c>
    </row>
    <row r="527" customFormat="false" ht="17" hidden="false" customHeight="false" outlineLevel="0" collapsed="false">
      <c r="A527" s="56" t="n">
        <v>5400</v>
      </c>
      <c r="B527" s="52" t="n">
        <v>12</v>
      </c>
    </row>
    <row r="528" customFormat="false" ht="17" hidden="false" customHeight="false" outlineLevel="0" collapsed="false">
      <c r="A528" s="56" t="n">
        <v>5598</v>
      </c>
      <c r="B528" s="52" t="n">
        <v>12</v>
      </c>
    </row>
    <row r="529" customFormat="false" ht="17" hidden="false" customHeight="false" outlineLevel="0" collapsed="false">
      <c r="A529" s="56" t="n">
        <v>5698</v>
      </c>
      <c r="B529" s="52" t="n">
        <v>12</v>
      </c>
    </row>
    <row r="530" customFormat="false" ht="17" hidden="false" customHeight="false" outlineLevel="0" collapsed="false">
      <c r="A530" s="56" t="n">
        <v>5784</v>
      </c>
      <c r="B530" s="52" t="n">
        <v>12</v>
      </c>
    </row>
    <row r="531" customFormat="false" ht="17" hidden="false" customHeight="false" outlineLevel="0" collapsed="false">
      <c r="A531" s="56" t="n">
        <v>5785</v>
      </c>
      <c r="B531" s="52" t="n">
        <v>12</v>
      </c>
    </row>
    <row r="532" customFormat="false" ht="17" hidden="false" customHeight="false" outlineLevel="0" collapsed="false">
      <c r="A532" s="56" t="n">
        <v>5801</v>
      </c>
      <c r="B532" s="52" t="n">
        <v>12</v>
      </c>
    </row>
    <row r="533" customFormat="false" ht="17" hidden="false" customHeight="false" outlineLevel="0" collapsed="false">
      <c r="A533" s="56" t="n">
        <v>5827</v>
      </c>
      <c r="B533" s="52" t="n">
        <v>12</v>
      </c>
    </row>
    <row r="534" customFormat="false" ht="15.8" hidden="false" customHeight="false" outlineLevel="0" collapsed="false">
      <c r="A534" s="53" t="n">
        <v>5845</v>
      </c>
      <c r="B534" s="52" t="n">
        <v>12</v>
      </c>
    </row>
    <row r="535" customFormat="false" ht="15.8" hidden="false" customHeight="false" outlineLevel="0" collapsed="false">
      <c r="A535" s="53" t="n">
        <v>5908</v>
      </c>
      <c r="B535" s="52" t="n">
        <v>12</v>
      </c>
    </row>
    <row r="536" customFormat="false" ht="15.8" hidden="false" customHeight="false" outlineLevel="0" collapsed="false">
      <c r="A536" s="53" t="n">
        <v>5919</v>
      </c>
      <c r="B536" s="52" t="n">
        <v>12</v>
      </c>
    </row>
    <row r="537" customFormat="false" ht="15.8" hidden="false" customHeight="false" outlineLevel="0" collapsed="false">
      <c r="A537" s="53" t="n">
        <v>5920</v>
      </c>
      <c r="B537" s="52" t="n">
        <v>12</v>
      </c>
    </row>
    <row r="538" customFormat="false" ht="15.8" hidden="false" customHeight="false" outlineLevel="0" collapsed="false">
      <c r="A538" s="53" t="n">
        <v>5923</v>
      </c>
      <c r="B538" s="52" t="n">
        <v>12</v>
      </c>
    </row>
    <row r="539" customFormat="false" ht="15.8" hidden="false" customHeight="false" outlineLevel="0" collapsed="false">
      <c r="A539" s="53" t="n">
        <v>5936</v>
      </c>
      <c r="B539" s="52" t="n">
        <v>12</v>
      </c>
    </row>
    <row r="540" customFormat="false" ht="15.8" hidden="false" customHeight="false" outlineLevel="0" collapsed="false">
      <c r="A540" s="53" t="n">
        <v>5967</v>
      </c>
      <c r="B540" s="52" t="n">
        <v>12</v>
      </c>
    </row>
    <row r="541" customFormat="false" ht="15.8" hidden="false" customHeight="false" outlineLevel="0" collapsed="false">
      <c r="A541" s="53" t="n">
        <v>5968</v>
      </c>
      <c r="B541" s="52" t="n">
        <v>12</v>
      </c>
    </row>
    <row r="542" customFormat="false" ht="15.8" hidden="false" customHeight="false" outlineLevel="0" collapsed="false">
      <c r="A542" s="53" t="n">
        <v>5984</v>
      </c>
      <c r="B542" s="52" t="n">
        <v>12</v>
      </c>
    </row>
    <row r="543" customFormat="false" ht="15.8" hidden="false" customHeight="false" outlineLevel="0" collapsed="false">
      <c r="A543" s="53" t="n">
        <v>5991</v>
      </c>
      <c r="B543" s="52" t="n">
        <v>12</v>
      </c>
    </row>
    <row r="544" customFormat="false" ht="15.8" hidden="false" customHeight="false" outlineLevel="0" collapsed="false">
      <c r="A544" s="53" t="n">
        <v>5993</v>
      </c>
      <c r="B544" s="52" t="n">
        <v>12</v>
      </c>
    </row>
    <row r="545" customFormat="false" ht="15.8" hidden="false" customHeight="false" outlineLevel="0" collapsed="false">
      <c r="A545" s="53" t="n">
        <v>6036</v>
      </c>
      <c r="B545" s="52" t="n">
        <v>12</v>
      </c>
    </row>
    <row r="546" customFormat="false" ht="15.8" hidden="false" customHeight="false" outlineLevel="0" collapsed="false">
      <c r="A546" s="53" t="n">
        <v>6040</v>
      </c>
      <c r="B546" s="52" t="n">
        <v>12</v>
      </c>
    </row>
    <row r="547" customFormat="false" ht="15.8" hidden="false" customHeight="false" outlineLevel="0" collapsed="false">
      <c r="A547" s="53" t="n">
        <v>6079</v>
      </c>
      <c r="B547" s="52" t="n">
        <v>12</v>
      </c>
    </row>
    <row r="548" customFormat="false" ht="15.8" hidden="false" customHeight="false" outlineLevel="0" collapsed="false">
      <c r="A548" s="53" t="n">
        <v>6086</v>
      </c>
      <c r="B548" s="52" t="n">
        <v>12</v>
      </c>
    </row>
    <row r="549" customFormat="false" ht="15.8" hidden="false" customHeight="false" outlineLevel="0" collapsed="false">
      <c r="A549" s="53" t="n">
        <v>6095</v>
      </c>
      <c r="B549" s="52" t="n">
        <v>12</v>
      </c>
    </row>
    <row r="550" customFormat="false" ht="15.8" hidden="false" customHeight="false" outlineLevel="0" collapsed="false">
      <c r="A550" s="53" t="n">
        <v>6109</v>
      </c>
      <c r="B550" s="52" t="n">
        <v>12</v>
      </c>
    </row>
    <row r="551" customFormat="false" ht="15.8" hidden="false" customHeight="false" outlineLevel="0" collapsed="false">
      <c r="A551" s="53" t="n">
        <v>6116</v>
      </c>
      <c r="B551" s="52" t="n">
        <v>12</v>
      </c>
    </row>
    <row r="552" customFormat="false" ht="15.8" hidden="false" customHeight="false" outlineLevel="0" collapsed="false">
      <c r="A552" s="53" t="n">
        <v>6200</v>
      </c>
      <c r="B552" s="52" t="n">
        <v>12</v>
      </c>
    </row>
    <row r="553" customFormat="false" ht="17" hidden="false" customHeight="false" outlineLevel="0" collapsed="false">
      <c r="A553" s="51" t="n">
        <v>6234</v>
      </c>
      <c r="B553" s="52" t="n">
        <v>12</v>
      </c>
    </row>
    <row r="554" customFormat="false" ht="17" hidden="false" customHeight="false" outlineLevel="0" collapsed="false">
      <c r="A554" s="51" t="n">
        <v>6317</v>
      </c>
      <c r="B554" s="52" t="n">
        <v>12</v>
      </c>
    </row>
    <row r="555" customFormat="false" ht="17" hidden="false" customHeight="false" outlineLevel="0" collapsed="false">
      <c r="A555" s="51" t="n">
        <v>6318</v>
      </c>
      <c r="B555" s="52" t="n">
        <v>12</v>
      </c>
    </row>
    <row r="556" customFormat="false" ht="17" hidden="false" customHeight="false" outlineLevel="0" collapsed="false">
      <c r="A556" s="51" t="n">
        <v>6330</v>
      </c>
      <c r="B556" s="52" t="n">
        <v>12</v>
      </c>
    </row>
    <row r="557" customFormat="false" ht="17" hidden="false" customHeight="false" outlineLevel="0" collapsed="false">
      <c r="A557" s="51" t="n">
        <v>6333</v>
      </c>
      <c r="B557" s="52" t="n">
        <v>12</v>
      </c>
    </row>
    <row r="558" customFormat="false" ht="17" hidden="false" customHeight="false" outlineLevel="0" collapsed="false">
      <c r="A558" s="51" t="n">
        <v>6353</v>
      </c>
      <c r="B558" s="52" t="n">
        <v>12</v>
      </c>
    </row>
    <row r="559" customFormat="false" ht="17" hidden="false" customHeight="false" outlineLevel="0" collapsed="false">
      <c r="A559" s="51" t="n">
        <v>6422</v>
      </c>
      <c r="B559" s="52" t="n">
        <v>12</v>
      </c>
    </row>
    <row r="560" customFormat="false" ht="17" hidden="false" customHeight="false" outlineLevel="0" collapsed="false">
      <c r="A560" s="51" t="n">
        <v>6446</v>
      </c>
      <c r="B560" s="52" t="n">
        <v>12</v>
      </c>
    </row>
    <row r="561" customFormat="false" ht="17" hidden="false" customHeight="false" outlineLevel="0" collapsed="false">
      <c r="A561" s="51" t="n">
        <v>6447</v>
      </c>
      <c r="B561" s="52" t="n">
        <v>12</v>
      </c>
    </row>
    <row r="562" customFormat="false" ht="17" hidden="false" customHeight="false" outlineLevel="0" collapsed="false">
      <c r="A562" s="51" t="n">
        <v>6486</v>
      </c>
      <c r="B562" s="52" t="n">
        <v>12</v>
      </c>
    </row>
    <row r="563" customFormat="false" ht="17" hidden="false" customHeight="false" outlineLevel="0" collapsed="false">
      <c r="A563" s="57" t="n">
        <v>6505</v>
      </c>
      <c r="B563" s="52" t="n">
        <v>12</v>
      </c>
    </row>
    <row r="564" customFormat="false" ht="17" hidden="false" customHeight="false" outlineLevel="0" collapsed="false">
      <c r="A564" s="60" t="n">
        <v>5466</v>
      </c>
      <c r="B564" s="52" t="n">
        <v>12</v>
      </c>
    </row>
    <row r="565" customFormat="false" ht="17" hidden="false" customHeight="false" outlineLevel="0" collapsed="false">
      <c r="A565" s="56" t="n">
        <v>5511</v>
      </c>
      <c r="B565" s="52" t="n">
        <v>12</v>
      </c>
    </row>
    <row r="566" customFormat="false" ht="17" hidden="false" customHeight="false" outlineLevel="0" collapsed="false">
      <c r="A566" s="56" t="n">
        <v>5519</v>
      </c>
      <c r="B566" s="52" t="n">
        <v>12</v>
      </c>
    </row>
    <row r="567" customFormat="false" ht="17" hidden="false" customHeight="false" outlineLevel="0" collapsed="false">
      <c r="A567" s="56" t="n">
        <v>5619</v>
      </c>
      <c r="B567" s="52" t="n">
        <v>12</v>
      </c>
    </row>
    <row r="568" customFormat="false" ht="17" hidden="false" customHeight="false" outlineLevel="0" collapsed="false">
      <c r="A568" s="56" t="n">
        <v>5645</v>
      </c>
      <c r="B568" s="52" t="n">
        <v>12</v>
      </c>
    </row>
    <row r="569" customFormat="false" ht="17" hidden="false" customHeight="false" outlineLevel="0" collapsed="false">
      <c r="A569" s="56" t="n">
        <v>5678</v>
      </c>
      <c r="B569" s="52" t="n">
        <v>12</v>
      </c>
    </row>
    <row r="570" customFormat="false" ht="17" hidden="false" customHeight="false" outlineLevel="0" collapsed="false">
      <c r="A570" s="56" t="n">
        <v>5680</v>
      </c>
      <c r="B570" s="52" t="n">
        <v>12</v>
      </c>
    </row>
    <row r="571" customFormat="false" ht="17" hidden="false" customHeight="false" outlineLevel="0" collapsed="false">
      <c r="A571" s="56" t="n">
        <v>5709</v>
      </c>
      <c r="B571" s="52" t="n">
        <v>12</v>
      </c>
    </row>
    <row r="572" customFormat="false" ht="17" hidden="false" customHeight="false" outlineLevel="0" collapsed="false">
      <c r="A572" s="56" t="n">
        <v>5712</v>
      </c>
      <c r="B572" s="52" t="n">
        <v>12</v>
      </c>
    </row>
    <row r="573" customFormat="false" ht="17" hidden="false" customHeight="false" outlineLevel="0" collapsed="false">
      <c r="A573" s="56" t="n">
        <v>5815</v>
      </c>
      <c r="B573" s="52" t="n">
        <v>12</v>
      </c>
    </row>
    <row r="574" customFormat="false" ht="15.8" hidden="false" customHeight="false" outlineLevel="0" collapsed="false">
      <c r="A574" s="53" t="n">
        <v>5821</v>
      </c>
      <c r="B574" s="52" t="n">
        <v>12</v>
      </c>
    </row>
    <row r="575" customFormat="false" ht="15.8" hidden="false" customHeight="false" outlineLevel="0" collapsed="false">
      <c r="A575" s="53" t="n">
        <v>5825</v>
      </c>
      <c r="B575" s="52" t="n">
        <v>12</v>
      </c>
    </row>
    <row r="576" customFormat="false" ht="15.8" hidden="false" customHeight="false" outlineLevel="0" collapsed="false">
      <c r="A576" s="53" t="n">
        <v>5852</v>
      </c>
      <c r="B576" s="52" t="n">
        <v>12</v>
      </c>
    </row>
    <row r="577" customFormat="false" ht="15.8" hidden="false" customHeight="false" outlineLevel="0" collapsed="false">
      <c r="A577" s="53" t="n">
        <v>5882</v>
      </c>
      <c r="B577" s="52" t="n">
        <v>12</v>
      </c>
    </row>
    <row r="578" customFormat="false" ht="15.8" hidden="false" customHeight="false" outlineLevel="0" collapsed="false">
      <c r="A578" s="53" t="n">
        <v>5924</v>
      </c>
      <c r="B578" s="52" t="n">
        <v>12</v>
      </c>
    </row>
    <row r="579" customFormat="false" ht="15.8" hidden="false" customHeight="false" outlineLevel="0" collapsed="false">
      <c r="A579" s="53" t="n">
        <v>5965</v>
      </c>
      <c r="B579" s="52" t="n">
        <v>12</v>
      </c>
    </row>
    <row r="580" customFormat="false" ht="15.8" hidden="false" customHeight="false" outlineLevel="0" collapsed="false">
      <c r="A580" s="53" t="n">
        <v>5966</v>
      </c>
      <c r="B580" s="52" t="n">
        <v>12</v>
      </c>
    </row>
    <row r="581" customFormat="false" ht="15.8" hidden="false" customHeight="false" outlineLevel="0" collapsed="false">
      <c r="A581" s="53" t="n">
        <v>6001</v>
      </c>
      <c r="B581" s="52" t="n">
        <v>12</v>
      </c>
    </row>
    <row r="582" customFormat="false" ht="15.8" hidden="false" customHeight="false" outlineLevel="0" collapsed="false">
      <c r="A582" s="53" t="n">
        <v>6002</v>
      </c>
      <c r="B582" s="52" t="n">
        <v>12</v>
      </c>
    </row>
    <row r="583" customFormat="false" ht="15.8" hidden="false" customHeight="false" outlineLevel="0" collapsed="false">
      <c r="A583" s="53" t="n">
        <v>6004</v>
      </c>
      <c r="B583" s="52" t="n">
        <v>12</v>
      </c>
    </row>
    <row r="584" customFormat="false" ht="15.8" hidden="false" customHeight="false" outlineLevel="0" collapsed="false">
      <c r="A584" s="53" t="n">
        <v>6010</v>
      </c>
      <c r="B584" s="52" t="n">
        <v>12</v>
      </c>
    </row>
    <row r="585" customFormat="false" ht="15.8" hidden="false" customHeight="false" outlineLevel="0" collapsed="false">
      <c r="A585" s="53" t="n">
        <v>6016</v>
      </c>
      <c r="B585" s="52" t="n">
        <v>12</v>
      </c>
    </row>
    <row r="586" customFormat="false" ht="15.8" hidden="false" customHeight="false" outlineLevel="0" collapsed="false">
      <c r="A586" s="53" t="n">
        <v>6020</v>
      </c>
      <c r="B586" s="52" t="n">
        <v>12</v>
      </c>
    </row>
    <row r="587" customFormat="false" ht="15.8" hidden="false" customHeight="false" outlineLevel="0" collapsed="false">
      <c r="A587" s="53" t="n">
        <v>6052</v>
      </c>
      <c r="B587" s="52" t="n">
        <v>12</v>
      </c>
    </row>
    <row r="588" customFormat="false" ht="15.8" hidden="false" customHeight="false" outlineLevel="0" collapsed="false">
      <c r="A588" s="53" t="n">
        <v>6053</v>
      </c>
      <c r="B588" s="52" t="n">
        <v>12</v>
      </c>
    </row>
    <row r="589" customFormat="false" ht="15.8" hidden="false" customHeight="false" outlineLevel="0" collapsed="false">
      <c r="A589" s="53" t="n">
        <v>6083</v>
      </c>
      <c r="B589" s="52" t="n">
        <v>12</v>
      </c>
    </row>
    <row r="590" customFormat="false" ht="15.8" hidden="false" customHeight="false" outlineLevel="0" collapsed="false">
      <c r="A590" s="53" t="n">
        <v>6084</v>
      </c>
      <c r="B590" s="52" t="n">
        <v>12</v>
      </c>
    </row>
    <row r="591" customFormat="false" ht="15.8" hidden="false" customHeight="false" outlineLevel="0" collapsed="false">
      <c r="A591" s="53" t="n">
        <v>6097</v>
      </c>
      <c r="B591" s="52" t="n">
        <v>12</v>
      </c>
    </row>
    <row r="592" customFormat="false" ht="15.8" hidden="false" customHeight="false" outlineLevel="0" collapsed="false">
      <c r="A592" s="53" t="n">
        <v>6107</v>
      </c>
      <c r="B592" s="52" t="n">
        <v>12</v>
      </c>
    </row>
    <row r="593" customFormat="false" ht="15.8" hidden="false" customHeight="false" outlineLevel="0" collapsed="false">
      <c r="A593" s="53" t="n">
        <v>6114</v>
      </c>
      <c r="B593" s="52" t="n">
        <v>12</v>
      </c>
    </row>
    <row r="594" customFormat="false" ht="15.8" hidden="false" customHeight="false" outlineLevel="0" collapsed="false">
      <c r="A594" s="53" t="n">
        <v>6121</v>
      </c>
      <c r="B594" s="52" t="n">
        <v>12</v>
      </c>
    </row>
    <row r="595" customFormat="false" ht="15.8" hidden="false" customHeight="false" outlineLevel="0" collapsed="false">
      <c r="A595" s="53" t="n">
        <v>6122</v>
      </c>
      <c r="B595" s="52" t="n">
        <v>12</v>
      </c>
    </row>
    <row r="596" customFormat="false" ht="15.8" hidden="false" customHeight="false" outlineLevel="0" collapsed="false">
      <c r="A596" s="53" t="n">
        <v>6139</v>
      </c>
      <c r="B596" s="52" t="n">
        <v>12</v>
      </c>
    </row>
    <row r="597" customFormat="false" ht="15.8" hidden="false" customHeight="false" outlineLevel="0" collapsed="false">
      <c r="A597" s="53" t="n">
        <v>6170</v>
      </c>
      <c r="B597" s="52" t="n">
        <v>12</v>
      </c>
    </row>
    <row r="598" customFormat="false" ht="15.8" hidden="false" customHeight="false" outlineLevel="0" collapsed="false">
      <c r="A598" s="53" t="n">
        <v>6171</v>
      </c>
      <c r="B598" s="52" t="n">
        <v>12</v>
      </c>
    </row>
    <row r="599" customFormat="false" ht="15.8" hidden="false" customHeight="false" outlineLevel="0" collapsed="false">
      <c r="A599" s="53" t="n">
        <v>6209</v>
      </c>
      <c r="B599" s="52" t="n">
        <v>12</v>
      </c>
    </row>
    <row r="600" customFormat="false" ht="15.8" hidden="false" customHeight="false" outlineLevel="0" collapsed="false">
      <c r="A600" s="53" t="n">
        <v>6246</v>
      </c>
      <c r="B600" s="52" t="n">
        <v>12</v>
      </c>
    </row>
    <row r="601" customFormat="false" ht="15.8" hidden="false" customHeight="false" outlineLevel="0" collapsed="false">
      <c r="A601" s="53" t="n">
        <v>6268</v>
      </c>
      <c r="B601" s="52" t="n">
        <v>12</v>
      </c>
    </row>
    <row r="602" customFormat="false" ht="15.8" hidden="false" customHeight="false" outlineLevel="0" collapsed="false">
      <c r="A602" s="53" t="n">
        <v>6273</v>
      </c>
      <c r="B602" s="52" t="n">
        <v>12</v>
      </c>
    </row>
    <row r="603" customFormat="false" ht="15.8" hidden="false" customHeight="false" outlineLevel="0" collapsed="false">
      <c r="A603" s="53" t="n">
        <v>6282</v>
      </c>
      <c r="B603" s="52" t="n">
        <v>12</v>
      </c>
    </row>
    <row r="604" customFormat="false" ht="15.8" hidden="false" customHeight="false" outlineLevel="0" collapsed="false">
      <c r="A604" s="53" t="n">
        <v>6308</v>
      </c>
      <c r="B604" s="52" t="n">
        <v>12</v>
      </c>
    </row>
    <row r="605" customFormat="false" ht="15.8" hidden="false" customHeight="false" outlineLevel="0" collapsed="false">
      <c r="A605" s="53" t="n">
        <v>6320</v>
      </c>
      <c r="B605" s="52" t="n">
        <v>12</v>
      </c>
    </row>
    <row r="606" customFormat="false" ht="15.8" hidden="false" customHeight="false" outlineLevel="0" collapsed="false">
      <c r="A606" s="53" t="n">
        <v>6329</v>
      </c>
      <c r="B606" s="52" t="n">
        <v>12</v>
      </c>
    </row>
    <row r="607" customFormat="false" ht="15.8" hidden="false" customHeight="false" outlineLevel="0" collapsed="false">
      <c r="A607" s="53" t="n">
        <v>6334</v>
      </c>
      <c r="B607" s="52" t="n">
        <v>12</v>
      </c>
    </row>
    <row r="608" customFormat="false" ht="15.8" hidden="false" customHeight="false" outlineLevel="0" collapsed="false">
      <c r="A608" s="53" t="n">
        <v>6355</v>
      </c>
      <c r="B608" s="52" t="n">
        <v>12</v>
      </c>
    </row>
    <row r="609" customFormat="false" ht="15.8" hidden="false" customHeight="false" outlineLevel="0" collapsed="false">
      <c r="A609" s="53" t="n">
        <v>6371</v>
      </c>
      <c r="B609" s="52" t="n">
        <v>12</v>
      </c>
    </row>
    <row r="610" customFormat="false" ht="15.8" hidden="false" customHeight="false" outlineLevel="0" collapsed="false">
      <c r="A610" s="53" t="n">
        <v>6373</v>
      </c>
      <c r="B610" s="52" t="n">
        <v>12</v>
      </c>
    </row>
    <row r="611" customFormat="false" ht="15.8" hidden="false" customHeight="false" outlineLevel="0" collapsed="false">
      <c r="A611" s="53" t="n">
        <v>6374</v>
      </c>
      <c r="B611" s="52" t="n">
        <v>12</v>
      </c>
    </row>
    <row r="612" customFormat="false" ht="15.8" hidden="false" customHeight="false" outlineLevel="0" collapsed="false">
      <c r="A612" s="53" t="n">
        <v>6408</v>
      </c>
      <c r="B612" s="52" t="n">
        <v>12</v>
      </c>
    </row>
    <row r="613" customFormat="false" ht="15.8" hidden="false" customHeight="false" outlineLevel="0" collapsed="false">
      <c r="A613" s="53" t="n">
        <v>6409</v>
      </c>
      <c r="B613" s="52" t="n">
        <v>12</v>
      </c>
    </row>
    <row r="614" customFormat="false" ht="15.8" hidden="false" customHeight="false" outlineLevel="0" collapsed="false">
      <c r="A614" s="53" t="n">
        <v>6410</v>
      </c>
      <c r="B614" s="52" t="n">
        <v>12</v>
      </c>
    </row>
    <row r="615" customFormat="false" ht="15.8" hidden="false" customHeight="false" outlineLevel="0" collapsed="false">
      <c r="A615" s="53" t="n">
        <v>6421</v>
      </c>
      <c r="B615" s="52" t="n">
        <v>12</v>
      </c>
    </row>
    <row r="616" customFormat="false" ht="15.8" hidden="false" customHeight="false" outlineLevel="0" collapsed="false">
      <c r="A616" s="53" t="n">
        <v>6429</v>
      </c>
      <c r="B616" s="52" t="n">
        <v>12</v>
      </c>
    </row>
    <row r="617" customFormat="false" ht="15.8" hidden="false" customHeight="false" outlineLevel="0" collapsed="false">
      <c r="A617" s="53" t="n">
        <v>6444</v>
      </c>
      <c r="B617" s="52" t="n">
        <v>12</v>
      </c>
    </row>
    <row r="618" customFormat="false" ht="15.8" hidden="false" customHeight="false" outlineLevel="0" collapsed="false">
      <c r="A618" s="53" t="n">
        <v>6463</v>
      </c>
      <c r="B618" s="52" t="n">
        <v>12</v>
      </c>
    </row>
    <row r="619" customFormat="false" ht="15.8" hidden="false" customHeight="false" outlineLevel="0" collapsed="false">
      <c r="A619" s="53" t="n">
        <v>6470</v>
      </c>
      <c r="B619" s="52" t="n">
        <v>12</v>
      </c>
    </row>
    <row r="620" customFormat="false" ht="15.8" hidden="false" customHeight="false" outlineLevel="0" collapsed="false">
      <c r="A620" s="59" t="n">
        <v>6500</v>
      </c>
      <c r="B620" s="52" t="n">
        <v>12</v>
      </c>
    </row>
    <row r="621" customFormat="false" ht="15.8" hidden="false" customHeight="false" outlineLevel="0" collapsed="false">
      <c r="A621" s="59" t="n">
        <v>6501</v>
      </c>
      <c r="B621" s="52" t="n">
        <v>12</v>
      </c>
    </row>
    <row r="622" customFormat="false" ht="17" hidden="false" customHeight="false" outlineLevel="0" collapsed="false">
      <c r="A622" s="56" t="n">
        <v>5339</v>
      </c>
      <c r="B622" s="52" t="n">
        <v>12</v>
      </c>
    </row>
    <row r="623" customFormat="false" ht="17" hidden="false" customHeight="false" outlineLevel="0" collapsed="false">
      <c r="A623" s="56" t="n">
        <v>5631</v>
      </c>
      <c r="B623" s="52" t="n">
        <v>12</v>
      </c>
    </row>
    <row r="624" customFormat="false" ht="17" hidden="false" customHeight="false" outlineLevel="0" collapsed="false">
      <c r="A624" s="56" t="n">
        <v>5643</v>
      </c>
      <c r="B624" s="52" t="n">
        <v>12</v>
      </c>
    </row>
    <row r="625" customFormat="false" ht="17" hidden="false" customHeight="false" outlineLevel="0" collapsed="false">
      <c r="A625" s="56" t="n">
        <v>5672</v>
      </c>
      <c r="B625" s="52" t="n">
        <v>12</v>
      </c>
    </row>
    <row r="626" customFormat="false" ht="17" hidden="false" customHeight="false" outlineLevel="0" collapsed="false">
      <c r="A626" s="56" t="n">
        <v>5673</v>
      </c>
      <c r="B626" s="52" t="n">
        <v>12</v>
      </c>
    </row>
    <row r="627" customFormat="false" ht="17" hidden="false" customHeight="false" outlineLevel="0" collapsed="false">
      <c r="A627" s="56" t="n">
        <v>5759</v>
      </c>
      <c r="B627" s="52" t="n">
        <v>12</v>
      </c>
    </row>
    <row r="628" customFormat="false" ht="17" hidden="false" customHeight="false" outlineLevel="0" collapsed="false">
      <c r="A628" s="56" t="n">
        <v>5775</v>
      </c>
      <c r="B628" s="52" t="n">
        <v>12</v>
      </c>
    </row>
    <row r="629" customFormat="false" ht="17" hidden="false" customHeight="false" outlineLevel="0" collapsed="false">
      <c r="A629" s="56" t="n">
        <v>5776</v>
      </c>
      <c r="B629" s="52" t="n">
        <v>12</v>
      </c>
    </row>
    <row r="630" customFormat="false" ht="17" hidden="false" customHeight="false" outlineLevel="0" collapsed="false">
      <c r="A630" s="56" t="n">
        <v>5813</v>
      </c>
      <c r="B630" s="52" t="n">
        <v>12</v>
      </c>
    </row>
    <row r="631" customFormat="false" ht="17" hidden="false" customHeight="false" outlineLevel="0" collapsed="false">
      <c r="A631" s="56" t="n">
        <v>5988</v>
      </c>
      <c r="B631" s="52" t="n">
        <v>12</v>
      </c>
    </row>
    <row r="632" customFormat="false" ht="17" hidden="false" customHeight="false" outlineLevel="0" collapsed="false">
      <c r="A632" s="56" t="n">
        <v>6005</v>
      </c>
      <c r="B632" s="52" t="n">
        <v>12</v>
      </c>
    </row>
    <row r="633" customFormat="false" ht="17" hidden="false" customHeight="false" outlineLevel="0" collapsed="false">
      <c r="A633" s="56" t="n">
        <v>6007</v>
      </c>
      <c r="B633" s="52" t="n">
        <v>12</v>
      </c>
    </row>
    <row r="634" customFormat="false" ht="17" hidden="false" customHeight="false" outlineLevel="0" collapsed="false">
      <c r="A634" s="56" t="n">
        <v>6019</v>
      </c>
      <c r="B634" s="52" t="n">
        <v>12</v>
      </c>
    </row>
    <row r="635" customFormat="false" ht="17" hidden="false" customHeight="false" outlineLevel="0" collapsed="false">
      <c r="A635" s="56" t="n">
        <v>6319</v>
      </c>
      <c r="B635" s="52" t="n">
        <v>12</v>
      </c>
    </row>
    <row r="636" customFormat="false" ht="17" hidden="false" customHeight="false" outlineLevel="0" collapsed="false">
      <c r="A636" s="56" t="n">
        <v>6324</v>
      </c>
      <c r="B636" s="52" t="n">
        <v>12</v>
      </c>
    </row>
    <row r="637" customFormat="false" ht="17" hidden="false" customHeight="false" outlineLevel="0" collapsed="false">
      <c r="A637" s="56" t="n">
        <v>6325</v>
      </c>
      <c r="B637" s="52" t="n">
        <v>12</v>
      </c>
    </row>
    <row r="638" customFormat="false" ht="17" hidden="false" customHeight="false" outlineLevel="0" collapsed="false">
      <c r="A638" s="56" t="n">
        <v>6346</v>
      </c>
      <c r="B638" s="52" t="n">
        <v>12</v>
      </c>
    </row>
    <row r="639" customFormat="false" ht="17" hidden="false" customHeight="false" outlineLevel="0" collapsed="false">
      <c r="A639" s="56" t="n">
        <v>6347</v>
      </c>
      <c r="B639" s="52" t="n">
        <v>12</v>
      </c>
    </row>
    <row r="640" customFormat="false" ht="17" hidden="false" customHeight="false" outlineLevel="0" collapsed="false">
      <c r="A640" s="56" t="n">
        <v>6359</v>
      </c>
      <c r="B640" s="52" t="n">
        <v>12</v>
      </c>
    </row>
    <row r="641" customFormat="false" ht="17" hidden="false" customHeight="false" outlineLevel="0" collapsed="false">
      <c r="A641" s="56" t="n">
        <v>6419</v>
      </c>
      <c r="B641" s="52" t="n">
        <v>12</v>
      </c>
    </row>
    <row r="642" customFormat="false" ht="17" hidden="false" customHeight="false" outlineLevel="0" collapsed="false">
      <c r="A642" s="56" t="n">
        <v>6441</v>
      </c>
      <c r="B642" s="52" t="n">
        <v>12</v>
      </c>
    </row>
    <row r="643" customFormat="false" ht="17" hidden="false" customHeight="false" outlineLevel="0" collapsed="false">
      <c r="A643" s="56" t="n">
        <v>5685</v>
      </c>
      <c r="B643" s="52" t="n">
        <v>12</v>
      </c>
    </row>
    <row r="644" customFormat="false" ht="17" hidden="false" customHeight="false" outlineLevel="0" collapsed="false">
      <c r="A644" s="56" t="n">
        <v>5722</v>
      </c>
      <c r="B644" s="52" t="n">
        <v>12</v>
      </c>
    </row>
    <row r="645" customFormat="false" ht="17" hidden="false" customHeight="false" outlineLevel="0" collapsed="false">
      <c r="A645" s="56" t="n">
        <v>5817</v>
      </c>
      <c r="B645" s="52" t="n">
        <v>12</v>
      </c>
    </row>
    <row r="646" customFormat="false" ht="17" hidden="false" customHeight="false" outlineLevel="0" collapsed="false">
      <c r="A646" s="56" t="n">
        <v>5826</v>
      </c>
      <c r="B646" s="52" t="n">
        <v>12</v>
      </c>
    </row>
    <row r="647" customFormat="false" ht="17" hidden="false" customHeight="false" outlineLevel="0" collapsed="false">
      <c r="A647" s="56" t="n">
        <v>6069</v>
      </c>
      <c r="B647" s="52" t="n">
        <v>12</v>
      </c>
    </row>
    <row r="648" customFormat="false" ht="17" hidden="false" customHeight="false" outlineLevel="0" collapsed="false">
      <c r="A648" s="56" t="n">
        <v>6096</v>
      </c>
      <c r="B648" s="52" t="n">
        <v>12</v>
      </c>
    </row>
    <row r="649" customFormat="false" ht="15.8" hidden="false" customHeight="false" outlineLevel="0" collapsed="false">
      <c r="A649" s="53" t="n">
        <v>6132</v>
      </c>
      <c r="B649" s="52" t="n">
        <v>12</v>
      </c>
    </row>
    <row r="650" customFormat="false" ht="15.8" hidden="false" customHeight="false" outlineLevel="0" collapsed="false">
      <c r="A650" s="53" t="n">
        <v>6313</v>
      </c>
      <c r="B650" s="52" t="n">
        <v>12</v>
      </c>
    </row>
    <row r="651" customFormat="false" ht="15.8" hidden="false" customHeight="false" outlineLevel="0" collapsed="false">
      <c r="A651" s="53" t="n">
        <v>6315</v>
      </c>
      <c r="B651" s="52" t="n">
        <v>12</v>
      </c>
    </row>
    <row r="652" customFormat="false" ht="15.8" hidden="false" customHeight="false" outlineLevel="0" collapsed="false">
      <c r="A652" s="53" t="n">
        <v>6351</v>
      </c>
      <c r="B652" s="52" t="n">
        <v>12</v>
      </c>
    </row>
    <row r="653" customFormat="false" ht="15.8" hidden="false" customHeight="false" outlineLevel="0" collapsed="false">
      <c r="A653" s="53" t="n">
        <v>6413</v>
      </c>
      <c r="B653" s="52" t="n">
        <v>12</v>
      </c>
    </row>
    <row r="654" customFormat="false" ht="15.8" hidden="false" customHeight="false" outlineLevel="0" collapsed="false">
      <c r="A654" s="53" t="n">
        <v>6428</v>
      </c>
      <c r="B654" s="52" t="n">
        <v>12</v>
      </c>
    </row>
    <row r="655" customFormat="false" ht="15.8" hidden="false" customHeight="false" outlineLevel="0" collapsed="false">
      <c r="A655" s="53" t="n">
        <v>6456</v>
      </c>
      <c r="B655" s="52" t="n">
        <v>12</v>
      </c>
    </row>
    <row r="656" customFormat="false" ht="15.8" hidden="false" customHeight="false" outlineLevel="0" collapsed="false">
      <c r="A656" s="53" t="n">
        <v>6457</v>
      </c>
      <c r="B656" s="52" t="n">
        <v>12</v>
      </c>
    </row>
    <row r="657" customFormat="false" ht="17" hidden="false" customHeight="false" outlineLevel="0" collapsed="false">
      <c r="A657" s="60" t="n">
        <v>758</v>
      </c>
      <c r="B657" s="52" t="n">
        <v>12</v>
      </c>
    </row>
    <row r="658" customFormat="false" ht="17" hidden="false" customHeight="false" outlineLevel="0" collapsed="false">
      <c r="A658" s="60" t="n">
        <v>4560</v>
      </c>
      <c r="B658" s="52" t="n">
        <v>12</v>
      </c>
    </row>
    <row r="659" customFormat="false" ht="17" hidden="false" customHeight="false" outlineLevel="0" collapsed="false">
      <c r="A659" s="60" t="n">
        <v>25</v>
      </c>
      <c r="B659" s="52" t="n">
        <v>12</v>
      </c>
    </row>
    <row r="660" customFormat="false" ht="17" hidden="false" customHeight="false" outlineLevel="0" collapsed="false">
      <c r="A660" s="60" t="n">
        <v>867</v>
      </c>
      <c r="B660" s="52" t="n">
        <v>12</v>
      </c>
    </row>
    <row r="661" customFormat="false" ht="17" hidden="false" customHeight="false" outlineLevel="0" collapsed="false">
      <c r="A661" s="60" t="n">
        <v>879</v>
      </c>
      <c r="B661" s="52" t="n">
        <v>12</v>
      </c>
    </row>
    <row r="662" customFormat="false" ht="17" hidden="false" customHeight="false" outlineLevel="0" collapsed="false">
      <c r="A662" s="63" t="n">
        <v>2040</v>
      </c>
      <c r="B662" s="52" t="n">
        <v>12</v>
      </c>
    </row>
    <row r="663" customFormat="false" ht="17" hidden="false" customHeight="false" outlineLevel="0" collapsed="false">
      <c r="A663" s="60" t="n">
        <v>2545</v>
      </c>
      <c r="B663" s="52" t="n">
        <v>12</v>
      </c>
    </row>
    <row r="664" customFormat="false" ht="17" hidden="false" customHeight="false" outlineLevel="0" collapsed="false">
      <c r="A664" s="56" t="n">
        <v>3775</v>
      </c>
      <c r="B664" s="52" t="n">
        <v>12</v>
      </c>
    </row>
    <row r="665" customFormat="false" ht="17" hidden="false" customHeight="false" outlineLevel="0" collapsed="false">
      <c r="A665" s="60" t="n">
        <v>3409</v>
      </c>
      <c r="B665" s="52" t="n">
        <v>12</v>
      </c>
    </row>
    <row r="666" customFormat="false" ht="17" hidden="false" customHeight="false" outlineLevel="0" collapsed="false">
      <c r="A666" s="60" t="n">
        <v>1068</v>
      </c>
      <c r="B666" s="52" t="n">
        <v>12</v>
      </c>
    </row>
    <row r="667" customFormat="false" ht="17" hidden="false" customHeight="false" outlineLevel="0" collapsed="false">
      <c r="A667" s="64" t="n">
        <v>4028</v>
      </c>
      <c r="B667" s="52" t="n">
        <v>12</v>
      </c>
    </row>
    <row r="668" customFormat="false" ht="17" hidden="false" customHeight="false" outlineLevel="0" collapsed="false">
      <c r="A668" s="64" t="n">
        <v>4427</v>
      </c>
      <c r="B668" s="52" t="n">
        <v>12</v>
      </c>
    </row>
    <row r="669" customFormat="false" ht="17" hidden="false" customHeight="false" outlineLevel="0" collapsed="false">
      <c r="A669" s="63" t="n">
        <v>1470</v>
      </c>
      <c r="B669" s="52" t="n">
        <v>12</v>
      </c>
    </row>
    <row r="670" customFormat="false" ht="17" hidden="false" customHeight="false" outlineLevel="0" collapsed="false">
      <c r="A670" s="60" t="n">
        <v>642</v>
      </c>
      <c r="B670" s="52" t="n">
        <v>12</v>
      </c>
    </row>
    <row r="671" customFormat="false" ht="17" hidden="false" customHeight="false" outlineLevel="0" collapsed="false">
      <c r="A671" s="56" t="n">
        <v>1812</v>
      </c>
      <c r="B671" s="52" t="n">
        <v>12</v>
      </c>
    </row>
    <row r="672" customFormat="false" ht="17" hidden="false" customHeight="false" outlineLevel="0" collapsed="false">
      <c r="A672" s="63" t="n">
        <v>1829</v>
      </c>
      <c r="B672" s="52" t="n">
        <v>12</v>
      </c>
    </row>
    <row r="673" customFormat="false" ht="17" hidden="false" customHeight="false" outlineLevel="0" collapsed="false">
      <c r="A673" s="51" t="n">
        <v>3380</v>
      </c>
      <c r="B673" s="52" t="n">
        <v>12</v>
      </c>
    </row>
    <row r="674" customFormat="false" ht="17" hidden="false" customHeight="false" outlineLevel="0" collapsed="false">
      <c r="A674" s="60" t="n">
        <v>3473</v>
      </c>
      <c r="B674" s="52" t="n">
        <v>12</v>
      </c>
    </row>
    <row r="675" customFormat="false" ht="15.8" hidden="false" customHeight="false" outlineLevel="0" collapsed="false">
      <c r="A675" s="52" t="n">
        <v>4932</v>
      </c>
      <c r="B675" s="52" t="n">
        <v>12</v>
      </c>
    </row>
    <row r="676" customFormat="false" ht="17" hidden="false" customHeight="false" outlineLevel="0" collapsed="false">
      <c r="A676" s="51" t="n">
        <v>3923</v>
      </c>
      <c r="B676" s="52" t="n">
        <v>12</v>
      </c>
    </row>
    <row r="677" customFormat="false" ht="17" hidden="false" customHeight="false" outlineLevel="0" collapsed="false">
      <c r="A677" s="51" t="n">
        <v>6247</v>
      </c>
      <c r="B677" s="52" t="n">
        <v>12</v>
      </c>
    </row>
    <row r="678" customFormat="false" ht="17" hidden="false" customHeight="false" outlineLevel="0" collapsed="false">
      <c r="A678" s="60" t="n">
        <v>1526</v>
      </c>
      <c r="B678" s="52" t="n">
        <v>12</v>
      </c>
    </row>
    <row r="679" customFormat="false" ht="17" hidden="false" customHeight="false" outlineLevel="0" collapsed="false">
      <c r="A679" s="56" t="n">
        <v>6491</v>
      </c>
      <c r="B679" s="52" t="n">
        <v>12</v>
      </c>
    </row>
    <row r="680" customFormat="false" ht="17" hidden="false" customHeight="false" outlineLevel="0" collapsed="false">
      <c r="A680" s="60" t="n">
        <v>3189</v>
      </c>
      <c r="B680" s="52" t="n">
        <v>12</v>
      </c>
    </row>
    <row r="681" customFormat="false" ht="17" hidden="false" customHeight="false" outlineLevel="0" collapsed="false">
      <c r="A681" s="51" t="n">
        <v>5277</v>
      </c>
      <c r="B681" s="52" t="n">
        <v>12</v>
      </c>
    </row>
    <row r="682" customFormat="false" ht="17" hidden="false" customHeight="false" outlineLevel="0" collapsed="false">
      <c r="A682" s="51" t="n">
        <v>5937</v>
      </c>
      <c r="B682" s="52" t="n">
        <v>12</v>
      </c>
    </row>
    <row r="683" customFormat="false" ht="17" hidden="false" customHeight="false" outlineLevel="0" collapsed="false">
      <c r="A683" s="60" t="n">
        <v>4959</v>
      </c>
      <c r="B683" s="52" t="n">
        <v>12</v>
      </c>
    </row>
    <row r="684" customFormat="false" ht="17" hidden="false" customHeight="false" outlineLevel="0" collapsed="false">
      <c r="A684" s="51" t="n">
        <v>3668</v>
      </c>
      <c r="B684" s="52" t="n">
        <v>12</v>
      </c>
    </row>
    <row r="685" customFormat="false" ht="17" hidden="false" customHeight="false" outlineLevel="0" collapsed="false">
      <c r="A685" s="56" t="n">
        <v>5115</v>
      </c>
      <c r="B685" s="52" t="n">
        <v>12</v>
      </c>
    </row>
    <row r="686" customFormat="false" ht="17" hidden="false" customHeight="false" outlineLevel="0" collapsed="false">
      <c r="A686" s="60" t="n">
        <v>6248</v>
      </c>
      <c r="B686" s="52" t="n">
        <v>12</v>
      </c>
    </row>
    <row r="687" customFormat="false" ht="17" hidden="false" customHeight="false" outlineLevel="0" collapsed="false">
      <c r="A687" s="56" t="n">
        <v>5349</v>
      </c>
      <c r="B687" s="52" t="n">
        <v>12</v>
      </c>
    </row>
    <row r="688" customFormat="false" ht="17" hidden="false" customHeight="false" outlineLevel="0" collapsed="false">
      <c r="A688" s="56" t="n">
        <v>5594</v>
      </c>
      <c r="B688" s="52" t="n">
        <v>12</v>
      </c>
    </row>
    <row r="689" customFormat="false" ht="17" hidden="false" customHeight="false" outlineLevel="0" collapsed="false">
      <c r="A689" s="56" t="n">
        <v>5627</v>
      </c>
      <c r="B689" s="52" t="n">
        <v>12</v>
      </c>
    </row>
    <row r="690" customFormat="false" ht="17" hidden="false" customHeight="false" outlineLevel="0" collapsed="false">
      <c r="A690" s="56" t="n">
        <v>5649</v>
      </c>
      <c r="B690" s="52" t="n">
        <v>12</v>
      </c>
    </row>
    <row r="691" customFormat="false" ht="17" hidden="false" customHeight="false" outlineLevel="0" collapsed="false">
      <c r="A691" s="56" t="n">
        <v>5715</v>
      </c>
      <c r="B691" s="52" t="n">
        <v>12</v>
      </c>
    </row>
    <row r="692" customFormat="false" ht="17" hidden="false" customHeight="false" outlineLevel="0" collapsed="false">
      <c r="A692" s="56" t="n">
        <v>5928</v>
      </c>
      <c r="B692" s="52" t="n">
        <v>12</v>
      </c>
    </row>
    <row r="693" customFormat="false" ht="17" hidden="false" customHeight="false" outlineLevel="0" collapsed="false">
      <c r="A693" s="56" t="n">
        <v>6091</v>
      </c>
      <c r="B693" s="52" t="n">
        <v>12</v>
      </c>
    </row>
    <row r="694" customFormat="false" ht="15.8" hidden="false" customHeight="false" outlineLevel="0" collapsed="false">
      <c r="A694" s="53" t="n">
        <v>6110</v>
      </c>
      <c r="B694" s="52" t="n">
        <v>12</v>
      </c>
    </row>
    <row r="695" customFormat="false" ht="17" hidden="false" customHeight="false" outlineLevel="0" collapsed="false">
      <c r="A695" s="56" t="n">
        <v>6144</v>
      </c>
      <c r="B695" s="52" t="n">
        <v>12</v>
      </c>
    </row>
    <row r="696" customFormat="false" ht="17" hidden="false" customHeight="false" outlineLevel="0" collapsed="false">
      <c r="A696" s="56" t="n">
        <v>6196</v>
      </c>
      <c r="B696" s="52" t="n">
        <v>12</v>
      </c>
    </row>
    <row r="697" customFormat="false" ht="17" hidden="false" customHeight="false" outlineLevel="0" collapsed="false">
      <c r="A697" s="56" t="n">
        <v>6251</v>
      </c>
      <c r="B697" s="52" t="n">
        <v>12</v>
      </c>
    </row>
    <row r="698" customFormat="false" ht="17" hidden="false" customHeight="false" outlineLevel="0" collapsed="false">
      <c r="A698" s="56" t="n">
        <v>6284</v>
      </c>
      <c r="B698" s="52" t="n">
        <v>12</v>
      </c>
    </row>
    <row r="699" customFormat="false" ht="17" hidden="false" customHeight="false" outlineLevel="0" collapsed="false">
      <c r="A699" s="56" t="n">
        <v>6309</v>
      </c>
      <c r="B699" s="52" t="n">
        <v>12</v>
      </c>
    </row>
    <row r="700" customFormat="false" ht="17" hidden="false" customHeight="false" outlineLevel="0" collapsed="false">
      <c r="A700" s="56" t="n">
        <v>6411</v>
      </c>
      <c r="B700" s="52" t="n">
        <v>12</v>
      </c>
    </row>
    <row r="701" customFormat="false" ht="17" hidden="false" customHeight="false" outlineLevel="0" collapsed="false">
      <c r="A701" s="56" t="n">
        <v>6423</v>
      </c>
      <c r="B701" s="52" t="n">
        <v>12</v>
      </c>
    </row>
    <row r="702" customFormat="false" ht="17" hidden="false" customHeight="false" outlineLevel="0" collapsed="false">
      <c r="A702" s="56" t="n">
        <v>6454</v>
      </c>
      <c r="B702" s="52" t="n">
        <v>12</v>
      </c>
    </row>
    <row r="703" customFormat="false" ht="17" hidden="false" customHeight="false" outlineLevel="0" collapsed="false">
      <c r="A703" s="56" t="n">
        <v>6455</v>
      </c>
      <c r="B703" s="52" t="n">
        <v>12</v>
      </c>
    </row>
    <row r="704" customFormat="false" ht="17" hidden="false" customHeight="false" outlineLevel="0" collapsed="false">
      <c r="A704" s="56" t="n">
        <v>6496</v>
      </c>
      <c r="B704" s="52" t="n">
        <v>12</v>
      </c>
    </row>
    <row r="705" customFormat="false" ht="15.8" hidden="false" customHeight="false" outlineLevel="0" collapsed="false">
      <c r="A705" s="53" t="n">
        <v>5572</v>
      </c>
      <c r="B705" s="52" t="n">
        <v>12</v>
      </c>
    </row>
    <row r="706" customFormat="false" ht="15.8" hidden="false" customHeight="false" outlineLevel="0" collapsed="false">
      <c r="A706" s="53" t="n">
        <v>5233</v>
      </c>
      <c r="B706" s="52" t="n">
        <v>12</v>
      </c>
    </row>
    <row r="707" customFormat="false" ht="17" hidden="false" customHeight="false" outlineLevel="0" collapsed="false">
      <c r="A707" s="60" t="n">
        <v>5670</v>
      </c>
      <c r="B707" s="52" t="n">
        <v>12</v>
      </c>
    </row>
    <row r="708" customFormat="false" ht="15.8" hidden="false" customHeight="false" outlineLevel="0" collapsed="false">
      <c r="A708" s="53" t="n">
        <v>5969</v>
      </c>
      <c r="B708" s="52" t="n">
        <v>12</v>
      </c>
    </row>
    <row r="709" customFormat="false" ht="15.8" hidden="false" customHeight="false" outlineLevel="0" collapsed="false">
      <c r="A709" s="53" t="n">
        <v>6174</v>
      </c>
      <c r="B709" s="52" t="n">
        <v>12</v>
      </c>
    </row>
    <row r="710" customFormat="false" ht="15.8" hidden="false" customHeight="false" outlineLevel="0" collapsed="false">
      <c r="A710" s="53" t="n">
        <v>6272</v>
      </c>
      <c r="B710" s="52" t="n">
        <v>12</v>
      </c>
    </row>
    <row r="711" customFormat="false" ht="15.8" hidden="false" customHeight="false" outlineLevel="0" collapsed="false">
      <c r="A711" s="53" t="n">
        <v>6484</v>
      </c>
      <c r="B711" s="52" t="n">
        <v>12</v>
      </c>
    </row>
    <row r="712" customFormat="false" ht="17" hidden="false" customHeight="false" outlineLevel="0" collapsed="false">
      <c r="A712" s="51" t="n">
        <v>5084</v>
      </c>
      <c r="B712" s="52" t="n">
        <v>12</v>
      </c>
    </row>
    <row r="713" customFormat="false" ht="17" hidden="false" customHeight="false" outlineLevel="0" collapsed="false">
      <c r="A713" s="51" t="n">
        <v>6115</v>
      </c>
      <c r="B713" s="52" t="n">
        <v>12</v>
      </c>
    </row>
    <row r="714" customFormat="false" ht="17" hidden="false" customHeight="false" outlineLevel="0" collapsed="false">
      <c r="A714" s="56" t="n">
        <v>6263</v>
      </c>
      <c r="B714" s="52" t="n">
        <v>12</v>
      </c>
    </row>
    <row r="715" customFormat="false" ht="17" hidden="false" customHeight="false" outlineLevel="0" collapsed="false">
      <c r="A715" s="56" t="n">
        <v>6453</v>
      </c>
      <c r="B715" s="52" t="n">
        <v>12</v>
      </c>
    </row>
    <row r="716" customFormat="false" ht="17" hidden="false" customHeight="false" outlineLevel="0" collapsed="false">
      <c r="A716" s="56" t="n">
        <v>6471</v>
      </c>
      <c r="B716" s="52" t="n">
        <v>12</v>
      </c>
    </row>
    <row r="717" customFormat="false" ht="17" hidden="false" customHeight="false" outlineLevel="0" collapsed="false">
      <c r="A717" s="51" t="n">
        <v>5847</v>
      </c>
      <c r="B717" s="52" t="n">
        <v>12</v>
      </c>
    </row>
    <row r="718" customFormat="false" ht="17" hidden="false" customHeight="false" outlineLevel="0" collapsed="false">
      <c r="A718" s="51" t="n">
        <v>5961</v>
      </c>
      <c r="B718" s="52" t="n">
        <v>12</v>
      </c>
    </row>
  </sheetData>
  <autoFilter ref="A1:B71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_x0000__x0000__x0000_</Template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2015-03-27T17:50:01Z</dcterms:created>
  <dc:creator>EADT098</dc:creator>
  <dc:description/>
  <dc:language>en-IN</dc:language>
  <cp:lastModifiedBy/>
  <cp:lastPrinted>2023-07-06T14:49:17Z</cp:lastPrinted>
  <dcterms:modified xsi:type="dcterms:W3CDTF">2024-01-05T17:05:07Z</dcterms:modified>
  <cp:revision>124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1033-9.1.0.4058</vt:lpwstr>
  </property>
</Properties>
</file>